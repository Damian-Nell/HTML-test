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https://d.docs.live.net/2b49ceb5705f10b4/Gr12 2025/CAT/PAT/Damian Nell/my work/Phase 2/"/>
    </mc:Choice>
  </mc:AlternateContent>
  <xr:revisionPtr revIDLastSave="727" documentId="8_{FFC95E0C-841D-4B66-BC4E-596622C569AF}" xr6:coauthVersionLast="47" xr6:coauthVersionMax="47" xr10:uidLastSave="{34DC38E0-6CBF-460E-B027-8F4C9BDBDA1E}"/>
  <bookViews>
    <workbookView xWindow="-28920" yWindow="-120" windowWidth="29040" windowHeight="15720" activeTab="2" xr2:uid="{00000000-000D-0000-FFFF-FFFF00000000}"/>
  </bookViews>
  <sheets>
    <sheet name="Costs" sheetId="1" r:id="rId1"/>
    <sheet name="Best wearable" sheetId="2" r:id="rId2"/>
    <sheet name="Survey Results" sheetId="3" r:id="rId3"/>
    <sheet name="Survery Graphs" sheetId="5" r:id="rId4"/>
  </sheets>
  <definedNames>
    <definedName name="_xleta.COUNT" hidden="1" xlm="1">#NAME?</definedName>
    <definedName name="_xleta.IF" hidden="1" xlm="1">#NAME?</definedName>
    <definedName name="_xleta.T" hidden="1" xlm="1">#NAME?</definedName>
    <definedName name="_xleta.TRUNC" hidden="1" xlm="1">#NAME?</definedName>
    <definedName name="AVGAnswer">'Survey Results'!$G$34:$T$34</definedName>
    <definedName name="AVGNum">'Survey Results'!$G$33:$T$33</definedName>
    <definedName name="BrandAVG">Costs!$Q$3:$Q$10</definedName>
    <definedName name="deviceFeatures">'Best wearable'!$D$2:$D$13</definedName>
    <definedName name="deviceName">'Best wearable'!$B$2:$B$13</definedName>
    <definedName name="devicePriceRange">'Best wearable'!$C$2:$C$13</definedName>
    <definedName name="deviceRating">'Best wearable'!$G$2:$G$13</definedName>
    <definedName name="deviceSmartFeatures">'Best wearable'!$E$2:$E$13</definedName>
    <definedName name="deviceWDRating">'Best wearable'!$F$2:$F$13</definedName>
    <definedName name="fitnessTrackAVG">Costs!$J$3:$J$10</definedName>
    <definedName name="fitnessTrackMax">Costs!$I$3:$I$10</definedName>
    <definedName name="fitnessTrackMin">Costs!$H$3:$H$10</definedName>
    <definedName name="leastPerCategory">Costs!$B$17:$Q$17</definedName>
    <definedName name="mostPerCategory">Costs!$B$16:$Q$16</definedName>
    <definedName name="_xlnm.Print_Area" localSheetId="1">'Best wearable'!$A$1:$K$35</definedName>
    <definedName name="_xlnm.Print_Area" localSheetId="0">Costs!$A$1:$Q$33</definedName>
    <definedName name="_xlnm.Print_Area" localSheetId="3">'Survery Graphs'!$A$1:$K$86</definedName>
    <definedName name="_xlnm.Print_Area" localSheetId="2">'Survey Results'!$A$1:$T$60</definedName>
    <definedName name="Q10Num">'Survey Results'!$P$19:$P$32</definedName>
    <definedName name="Q11Num">'Survey Results'!$Q$19:$Q$32</definedName>
    <definedName name="Q13Num">'Survey Results'!$S$19:$S$32</definedName>
    <definedName name="Q14Num">'Survey Results'!$T$19:$T$32</definedName>
    <definedName name="Q1Num">'Survey Results'!$G$19:$G$33</definedName>
    <definedName name="Q2Num">'Survey Results'!$H$19:$H$33</definedName>
    <definedName name="Q3Num">'Survey Results'!$I$19:$I$32</definedName>
    <definedName name="Q4Num">'Survey Results'!$J$19:$J$32</definedName>
    <definedName name="Q5Num">'Survey Results'!$K$19:$K$32</definedName>
    <definedName name="Q6Num">'Survey Results'!$L$19:$L$32</definedName>
    <definedName name="Q7Num">'Survey Results'!$M$19:$M$32</definedName>
    <definedName name="Q8Num">'Survey Results'!$N$19:$N$32</definedName>
    <definedName name="Q9Num">'Survey Results'!$O$19:$O$32</definedName>
    <definedName name="Question_1_Num">'Survey Results'!$G$19:$G$34</definedName>
    <definedName name="Question_10_Num">'Survey Results'!$P$19:$P$34</definedName>
    <definedName name="Question_11_Num">'Survey Results'!$Q$19:$Q$34</definedName>
    <definedName name="Question_13_Num">'Survey Results'!$S$19:$S$34</definedName>
    <definedName name="Question_14_Num">'Survey Results'!$T$19:$T$34</definedName>
    <definedName name="Question_2_Num">'Survey Results'!$H$19:$H$34</definedName>
    <definedName name="Question_3_Num">'Survey Results'!$I$19:$I$34</definedName>
    <definedName name="Question_4_Num">'Survey Results'!$J$19:$J$34</definedName>
    <definedName name="Question_5_Num">'Survey Results'!$K$19:$K$34</definedName>
    <definedName name="Question_6_Num">'Survey Results'!$L$19:$L$34</definedName>
    <definedName name="Question_7_Num">'Survey Results'!$M$19:$M$34</definedName>
    <definedName name="Question_8_Num">'Survey Results'!$N$19:$N$34</definedName>
    <definedName name="Question_9_Num">'Survey Results'!$O$19:$O$34</definedName>
    <definedName name="smartEarAVG">Costs!$P$3:$P$10</definedName>
    <definedName name="smartEarMax">Costs!$O$3:$O$10</definedName>
    <definedName name="smartEarMin">Costs!$N$3:$N$10</definedName>
    <definedName name="smartJewelryAVG">Costs!$G$3:$G$10</definedName>
    <definedName name="smartJewelryMax">Costs!$F$3:$F$10</definedName>
    <definedName name="smartJewelryMin">Costs!$E$3:$E$10</definedName>
    <definedName name="smartWatchesAVG">Costs!$D$3:$D$10</definedName>
    <definedName name="smartWatchesMax">Costs!$C$3:$C$10</definedName>
    <definedName name="smartWatchesMin">Costs!$B$3:$B$10</definedName>
    <definedName name="StrongDisagreeStrongAgreeTable">'Survey Results'!$A$36:$B$41</definedName>
    <definedName name="VRAVG">Costs!$M$3:$M$10</definedName>
    <definedName name="VRMax">Costs!$L$3:$L$10</definedName>
    <definedName name="VRMin">Costs!$K$3:$K$10</definedName>
    <definedName name="WeekPlusFewTimesDayTable">'Survey Results'!#REF!</definedName>
  </definedNames>
  <calcPr calcId="191029"/>
  <pivotCaches>
    <pivotCache cacheId="0" r:id="rId5"/>
    <pivotCache cacheId="1" r:id="rId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9" i="3" l="1"/>
  <c r="B59" i="3"/>
  <c r="B60" i="3"/>
  <c r="B44" i="3"/>
  <c r="B45" i="3"/>
  <c r="B46" i="3"/>
  <c r="B47" i="3"/>
  <c r="B48" i="3"/>
  <c r="B49" i="3"/>
  <c r="B50" i="3"/>
  <c r="B51" i="3"/>
  <c r="B52" i="3"/>
  <c r="B53" i="3"/>
  <c r="B54" i="3"/>
  <c r="B55" i="3"/>
  <c r="B56" i="3"/>
  <c r="B57" i="3"/>
  <c r="B58" i="3"/>
  <c r="Q15" i="1"/>
  <c r="Q14" i="1"/>
  <c r="C14" i="1"/>
  <c r="D14" i="1"/>
  <c r="E14" i="1"/>
  <c r="F14" i="1"/>
  <c r="G14" i="1"/>
  <c r="H14" i="1"/>
  <c r="I14" i="1"/>
  <c r="J14" i="1"/>
  <c r="K14" i="1"/>
  <c r="L14" i="1"/>
  <c r="M14" i="1"/>
  <c r="N14" i="1"/>
  <c r="O14" i="1"/>
  <c r="P14" i="1"/>
  <c r="B14" i="1"/>
  <c r="T19" i="3"/>
  <c r="C13" i="1"/>
  <c r="D13" i="1"/>
  <c r="E13" i="1"/>
  <c r="F13" i="1"/>
  <c r="G13" i="1"/>
  <c r="H13" i="1"/>
  <c r="I13" i="1"/>
  <c r="J13" i="1"/>
  <c r="K13" i="1"/>
  <c r="L13" i="1"/>
  <c r="M13" i="1"/>
  <c r="N13" i="1"/>
  <c r="O13" i="1"/>
  <c r="P13" i="1"/>
  <c r="Q13" i="1"/>
  <c r="B13" i="1"/>
  <c r="T20" i="3"/>
  <c r="T21" i="3"/>
  <c r="T22" i="3"/>
  <c r="T23" i="3"/>
  <c r="T24" i="3"/>
  <c r="T25" i="3"/>
  <c r="T26" i="3"/>
  <c r="T27" i="3"/>
  <c r="T28" i="3"/>
  <c r="T29" i="3"/>
  <c r="T30" i="3"/>
  <c r="T31" i="3"/>
  <c r="T32" i="3"/>
  <c r="S20" i="3"/>
  <c r="S21" i="3"/>
  <c r="S22" i="3"/>
  <c r="S23" i="3"/>
  <c r="S24" i="3"/>
  <c r="S25" i="3"/>
  <c r="S26" i="3"/>
  <c r="S27" i="3"/>
  <c r="S28" i="3"/>
  <c r="S29" i="3"/>
  <c r="S30" i="3"/>
  <c r="S31" i="3"/>
  <c r="S32" i="3"/>
  <c r="S19" i="3"/>
  <c r="P19" i="3"/>
  <c r="H19" i="3"/>
  <c r="I19" i="3"/>
  <c r="J19" i="3"/>
  <c r="K19" i="3"/>
  <c r="L19" i="3"/>
  <c r="M19" i="3"/>
  <c r="N19" i="3"/>
  <c r="O19" i="3"/>
  <c r="H20" i="3"/>
  <c r="I20" i="3"/>
  <c r="J20" i="3"/>
  <c r="K20" i="3"/>
  <c r="L20" i="3"/>
  <c r="M20" i="3"/>
  <c r="N20" i="3"/>
  <c r="O20" i="3"/>
  <c r="P20" i="3"/>
  <c r="H21" i="3"/>
  <c r="I21" i="3"/>
  <c r="J21" i="3"/>
  <c r="K21" i="3"/>
  <c r="L21" i="3"/>
  <c r="M21" i="3"/>
  <c r="N21" i="3"/>
  <c r="O21" i="3"/>
  <c r="P21" i="3"/>
  <c r="H22" i="3"/>
  <c r="I22" i="3"/>
  <c r="J22" i="3"/>
  <c r="K22" i="3"/>
  <c r="L22" i="3"/>
  <c r="M22" i="3"/>
  <c r="N22" i="3"/>
  <c r="O22" i="3"/>
  <c r="P22" i="3"/>
  <c r="H23" i="3"/>
  <c r="I23" i="3"/>
  <c r="J23" i="3"/>
  <c r="K23" i="3"/>
  <c r="L23" i="3"/>
  <c r="M23" i="3"/>
  <c r="N23" i="3"/>
  <c r="O23" i="3"/>
  <c r="P23" i="3"/>
  <c r="H24" i="3"/>
  <c r="I24" i="3"/>
  <c r="J24" i="3"/>
  <c r="K24" i="3"/>
  <c r="L24" i="3"/>
  <c r="M24" i="3"/>
  <c r="N24" i="3"/>
  <c r="O24" i="3"/>
  <c r="P24" i="3"/>
  <c r="H25" i="3"/>
  <c r="I25" i="3"/>
  <c r="J25" i="3"/>
  <c r="K25" i="3"/>
  <c r="L25" i="3"/>
  <c r="M25" i="3"/>
  <c r="N25" i="3"/>
  <c r="O25" i="3"/>
  <c r="P25" i="3"/>
  <c r="H26" i="3"/>
  <c r="I26" i="3"/>
  <c r="J26" i="3"/>
  <c r="K26" i="3"/>
  <c r="L26" i="3"/>
  <c r="M26" i="3"/>
  <c r="N26" i="3"/>
  <c r="O26" i="3"/>
  <c r="P26" i="3"/>
  <c r="H27" i="3"/>
  <c r="I27" i="3"/>
  <c r="J27" i="3"/>
  <c r="K27" i="3"/>
  <c r="L27" i="3"/>
  <c r="M27" i="3"/>
  <c r="N27" i="3"/>
  <c r="O27" i="3"/>
  <c r="P27" i="3"/>
  <c r="H28" i="3"/>
  <c r="I28" i="3"/>
  <c r="J28" i="3"/>
  <c r="K28" i="3"/>
  <c r="L28" i="3"/>
  <c r="M28" i="3"/>
  <c r="N28" i="3"/>
  <c r="O28" i="3"/>
  <c r="P28" i="3"/>
  <c r="H29" i="3"/>
  <c r="I29" i="3"/>
  <c r="J29" i="3"/>
  <c r="K29" i="3"/>
  <c r="L29" i="3"/>
  <c r="M29" i="3"/>
  <c r="N29" i="3"/>
  <c r="O29" i="3"/>
  <c r="P29" i="3"/>
  <c r="H30" i="3"/>
  <c r="I30" i="3"/>
  <c r="J30" i="3"/>
  <c r="K30" i="3"/>
  <c r="L30" i="3"/>
  <c r="M30" i="3"/>
  <c r="N30" i="3"/>
  <c r="O30" i="3"/>
  <c r="P30" i="3"/>
  <c r="H31" i="3"/>
  <c r="I31" i="3"/>
  <c r="J31" i="3"/>
  <c r="K31" i="3"/>
  <c r="L31" i="3"/>
  <c r="M31" i="3"/>
  <c r="N31" i="3"/>
  <c r="O31" i="3"/>
  <c r="P31" i="3"/>
  <c r="H32" i="3"/>
  <c r="I32" i="3"/>
  <c r="J32" i="3"/>
  <c r="K32" i="3"/>
  <c r="L32" i="3"/>
  <c r="M32" i="3"/>
  <c r="N32" i="3"/>
  <c r="O32" i="3"/>
  <c r="P32" i="3"/>
  <c r="G20" i="3"/>
  <c r="G21" i="3"/>
  <c r="G22" i="3"/>
  <c r="G23" i="3"/>
  <c r="G24" i="3"/>
  <c r="G25" i="3"/>
  <c r="G26" i="3"/>
  <c r="G27" i="3"/>
  <c r="G28" i="3"/>
  <c r="G29" i="3"/>
  <c r="G30" i="3"/>
  <c r="G31" i="3"/>
  <c r="G32" i="3"/>
  <c r="H5" i="2"/>
  <c r="H8" i="2"/>
  <c r="H11" i="2"/>
  <c r="H2" i="2"/>
  <c r="Q20" i="3"/>
  <c r="Q21" i="3"/>
  <c r="Q22" i="3"/>
  <c r="Q23" i="3"/>
  <c r="Q24" i="3"/>
  <c r="Q25" i="3"/>
  <c r="Q26" i="3"/>
  <c r="Q27" i="3"/>
  <c r="Q28" i="3"/>
  <c r="Q29" i="3"/>
  <c r="Q30" i="3"/>
  <c r="Q31" i="3"/>
  <c r="Q32" i="3"/>
  <c r="Q19" i="3"/>
  <c r="C11" i="1"/>
  <c r="E11" i="1"/>
  <c r="F11" i="1"/>
  <c r="H11" i="1"/>
  <c r="I11" i="1"/>
  <c r="K11" i="1"/>
  <c r="L11" i="1"/>
  <c r="N11" i="1"/>
  <c r="O11" i="1"/>
  <c r="B11" i="1"/>
  <c r="P4" i="1"/>
  <c r="P5" i="1"/>
  <c r="P6" i="1"/>
  <c r="P7" i="1"/>
  <c r="P8" i="1"/>
  <c r="P9" i="1"/>
  <c r="P10" i="1"/>
  <c r="P3" i="1"/>
  <c r="M4" i="1"/>
  <c r="K17" i="1" s="1"/>
  <c r="M5" i="1"/>
  <c r="M6" i="1"/>
  <c r="M7" i="1"/>
  <c r="M8" i="1"/>
  <c r="M9" i="1"/>
  <c r="M10" i="1"/>
  <c r="M3" i="1"/>
  <c r="J5" i="1"/>
  <c r="J3" i="1"/>
  <c r="J4" i="1"/>
  <c r="J6" i="1"/>
  <c r="J7" i="1"/>
  <c r="Q7" i="1" s="1"/>
  <c r="J8" i="1"/>
  <c r="J9" i="1"/>
  <c r="J10" i="1"/>
  <c r="D3" i="1"/>
  <c r="D4" i="1"/>
  <c r="D5" i="1"/>
  <c r="D6" i="1"/>
  <c r="D7" i="1"/>
  <c r="D8" i="1"/>
  <c r="D9" i="1"/>
  <c r="Q9" i="1" s="1"/>
  <c r="D10" i="1"/>
  <c r="Q10" i="1" s="1"/>
  <c r="G3" i="1"/>
  <c r="E16" i="1" s="1"/>
  <c r="G4" i="1"/>
  <c r="G5" i="1"/>
  <c r="G6" i="1"/>
  <c r="G7" i="1"/>
  <c r="G8" i="1"/>
  <c r="G9" i="1"/>
  <c r="G10" i="1"/>
  <c r="M33" i="3" l="1"/>
  <c r="M34" i="3" s="1"/>
  <c r="J33" i="3"/>
  <c r="J34" i="3" s="1"/>
  <c r="P33" i="3"/>
  <c r="P34" i="3" s="1"/>
  <c r="O33" i="3"/>
  <c r="O34" i="3" s="1"/>
  <c r="G33" i="3"/>
  <c r="G34" i="3" s="1"/>
  <c r="L33" i="3"/>
  <c r="L34" i="3" s="1"/>
  <c r="N33" i="3"/>
  <c r="N34" i="3" s="1"/>
  <c r="K33" i="3"/>
  <c r="K34" i="3" s="1"/>
  <c r="H33" i="3"/>
  <c r="H34" i="3" s="1"/>
  <c r="S33" i="3"/>
  <c r="S34" i="3" s="1"/>
  <c r="Q33" i="3"/>
  <c r="Q34" i="3" s="1"/>
  <c r="I33" i="3"/>
  <c r="I34" i="3" s="1"/>
  <c r="P11" i="1"/>
  <c r="J11" i="1"/>
  <c r="Q6" i="1"/>
  <c r="K16" i="1"/>
  <c r="Q4" i="1"/>
  <c r="Q3" i="1"/>
  <c r="Q5" i="1"/>
  <c r="M11" i="1"/>
  <c r="E17" i="1"/>
  <c r="H16" i="1"/>
  <c r="H17" i="1"/>
  <c r="N16" i="1"/>
  <c r="G11" i="1"/>
  <c r="N17" i="1"/>
  <c r="B16" i="1"/>
  <c r="D11" i="1"/>
  <c r="B17" i="1"/>
  <c r="Q8" i="1"/>
  <c r="T33" i="3"/>
  <c r="T34" i="3" s="1"/>
  <c r="Q11" i="1" l="1"/>
  <c r="Q17" i="1"/>
  <c r="Q1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tc={81150143-CD5E-4C43-B864-62F932CCBA55}</author>
    <author>tc={CB882B39-B704-4BFA-8F64-EC9704E695F2}</author>
  </authors>
  <commentList>
    <comment ref="Q11" authorId="0" shapeId="0" xr:uid="{81150143-CD5E-4C43-B864-62F932CCBA55}">
      <text>
        <t>[Threaded comment]
Your version of Excel allows you to read this threaded comment; however, any edits to it will get removed if the file is opened in a newer version of Excel. Learn more: https://go.microsoft.com/fwlink/?linkid=870924
Comment:
    Average of the Brand Averages</t>
      </text>
    </comment>
    <comment ref="Q15" authorId="1" shapeId="0" xr:uid="{CB882B39-B704-4BFA-8F64-EC9704E695F2}">
      <text>
        <t>[Threaded comment]
Your version of Excel allows you to read this threaded comment; however, any edits to it will get removed if the file is opened in a newer version of Excel. Learn more: https://go.microsoft.com/fwlink/?linkid=870924
Comment:
    The range of prices between all devices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tc={381F5776-926A-4AE8-802C-993AE6209F34}</author>
  </authors>
  <commentList>
    <comment ref="H1" authorId="0" shapeId="0" xr:uid="{381F5776-926A-4AE8-802C-993AE6209F34}">
      <text>
        <t>[Threaded comment]
Your version of Excel allows you to read this threaded comment; however, any edits to it will get removed if the file is opened in a newer version of Excel. Learn more: https://go.microsoft.com/fwlink/?linkid=870924
Comment:
    Average accuracy rating of each brand rounded down to the nearest whole number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tc={3984D473-AB58-44F2-BD66-B31BE6C017B4}</author>
  </authors>
  <commentList>
    <comment ref="A34" authorId="0" shapeId="0" xr:uid="{3984D473-AB58-44F2-BD66-B31BE6C017B4}">
      <text>
        <t xml:space="preserve">[Threaded comment]
Your version of Excel allows you to read this threaded comment; however, any edits to it will get removed if the file is opened in a newer version of Excel. Learn more: https://go.microsoft.com/fwlink/?linkid=870924
Comment:
    Compares average values with the table using xlookup. If the decimal is bigger than 0.5 then it rounds up first and if its smaller then it rounds down.
</t>
      </text>
    </comment>
  </commentList>
</comments>
</file>

<file path=xl/sharedStrings.xml><?xml version="1.0" encoding="utf-8"?>
<sst xmlns="http://schemas.openxmlformats.org/spreadsheetml/2006/main" count="559" uniqueCount="171">
  <si>
    <t>Brand</t>
  </si>
  <si>
    <t>Apple</t>
  </si>
  <si>
    <t>Samsung</t>
  </si>
  <si>
    <t>Fitbit</t>
  </si>
  <si>
    <t>Garmin</t>
  </si>
  <si>
    <t>~</t>
  </si>
  <si>
    <t>Xiaomi</t>
  </si>
  <si>
    <t>Meta</t>
  </si>
  <si>
    <t>Sony</t>
  </si>
  <si>
    <t>Microsoft</t>
  </si>
  <si>
    <t>smart watches</t>
  </si>
  <si>
    <t>smart jewelry</t>
  </si>
  <si>
    <t>fitness trackers</t>
  </si>
  <si>
    <t>VR/AR</t>
  </si>
  <si>
    <t>Brand Average</t>
  </si>
  <si>
    <t>min</t>
  </si>
  <si>
    <t>max</t>
  </si>
  <si>
    <t>Smart Earbuds</t>
  </si>
  <si>
    <t>avg</t>
  </si>
  <si>
    <t>Category Averages</t>
  </si>
  <si>
    <t>Device Name</t>
  </si>
  <si>
    <t>Price Range</t>
  </si>
  <si>
    <t>Health &amp; fitness features</t>
  </si>
  <si>
    <t>smart features</t>
  </si>
  <si>
    <t>Apple watch series 9</t>
  </si>
  <si>
    <t>Apple watch Ultra 2</t>
  </si>
  <si>
    <t>R15000 - R18000</t>
  </si>
  <si>
    <t>LTE, Siri, Calls, Texts, App store, Apple pay</t>
  </si>
  <si>
    <t>Water and dust rating</t>
  </si>
  <si>
    <t>WR100, IP6X</t>
  </si>
  <si>
    <t>R9000 - R11000</t>
  </si>
  <si>
    <t>ECG, Blood oxygen, heart rate monitor, Skin tempreture, GPS, Advanced workout metrics, Sleep tracking</t>
  </si>
  <si>
    <t>ECG, Blood oxygen, heart rate monitor, Skin tempreture, workout metrics, Sleep tracking</t>
  </si>
  <si>
    <t>LTE, Siri, Texts, Apple pay</t>
  </si>
  <si>
    <t>WR50, IP6X</t>
  </si>
  <si>
    <t>Apple Watch SE (2nd gen)</t>
  </si>
  <si>
    <t>R5000 - R6000</t>
  </si>
  <si>
    <t>Heart rate monitor, Sleep tracking, Fall detection, basic fitness tracking</t>
  </si>
  <si>
    <t>Notifications, Siri, Apple pay</t>
  </si>
  <si>
    <t>WR50</t>
  </si>
  <si>
    <t>Galaxy watch 6 classic</t>
  </si>
  <si>
    <t>Galaxy watch 5</t>
  </si>
  <si>
    <t>Galaxy fit 3 (2024)</t>
  </si>
  <si>
    <t>R10000 - R13000</t>
  </si>
  <si>
    <t>R6000 - R8000</t>
  </si>
  <si>
    <t>R2000 - R2500</t>
  </si>
  <si>
    <t>ECG, Heart Rate monitor, body composition (BIA), Sleep coaching, GPS</t>
  </si>
  <si>
    <t>Calls, Texts, Bixby, Samsung pay, Google Apps</t>
  </si>
  <si>
    <t>5ATM + IP68, MIL-STD-810h</t>
  </si>
  <si>
    <t>Heart rate monitor, Blood oxygen, Sleep tracking, Fitness tracking</t>
  </si>
  <si>
    <t>smart notifications, voice assisstant</t>
  </si>
  <si>
    <t>5ATM + IP68</t>
  </si>
  <si>
    <t>Heart rate monitor, sleep tracking, step count, workout tracking</t>
  </si>
  <si>
    <t>basic notifications</t>
  </si>
  <si>
    <t>5ATM</t>
  </si>
  <si>
    <t>Fitbit Sense 2</t>
  </si>
  <si>
    <t>R6500 - R7500</t>
  </si>
  <si>
    <t>Heart Rate monitor, ECG, EDA, SpO2, sleep, GPS, tempreture sensor</t>
  </si>
  <si>
    <t>Notifications, Alexa, Google wallet</t>
  </si>
  <si>
    <t>10ATM, MIL-STD-810</t>
  </si>
  <si>
    <t>Fitbit Charge 6</t>
  </si>
  <si>
    <t>Fitbit inspire 3</t>
  </si>
  <si>
    <t>R3000 - R4000</t>
  </si>
  <si>
    <t>R1500 - R2200</t>
  </si>
  <si>
    <t>heart Rate monitor, SpO2, ECG, exercise tracking, sleep, stress management</t>
  </si>
  <si>
    <t>google wallet, youtube music</t>
  </si>
  <si>
    <t>Heart Rate monitor, sleep tracking, stress management, steps</t>
  </si>
  <si>
    <t>Garmin Fenix 7 pro</t>
  </si>
  <si>
    <t>Garmin Venu 3</t>
  </si>
  <si>
    <t>Garmin Forerunner 55</t>
  </si>
  <si>
    <t>R3500 - R4500</t>
  </si>
  <si>
    <t>R7500 - R9000</t>
  </si>
  <si>
    <t>Multi-band GPS, heart rate, pulse ox, VO2 max, stress &amp; sleep, hiking &amp; outdoor tracking</t>
  </si>
  <si>
    <t>heart rate monitor, pulse ox, sleep score, stress, women's health, workouts</t>
  </si>
  <si>
    <t>GPS, heart rate monitor, basic activity &amp; sleep tracking</t>
  </si>
  <si>
    <t>limited smart features, music storage, garmin pay</t>
  </si>
  <si>
    <t>voice calling, notifications, music controlls</t>
  </si>
  <si>
    <t>smart notifications</t>
  </si>
  <si>
    <t>5 ★</t>
  </si>
  <si>
    <t>4 ★</t>
  </si>
  <si>
    <t>3 ★</t>
  </si>
  <si>
    <t>2 ★</t>
  </si>
  <si>
    <t>ID</t>
  </si>
  <si>
    <t>Start time</t>
  </si>
  <si>
    <t>Completion time</t>
  </si>
  <si>
    <t>Email</t>
  </si>
  <si>
    <t>Name</t>
  </si>
  <si>
    <t>Last modified time</t>
  </si>
  <si>
    <t>anonymous</t>
  </si>
  <si>
    <t>Agree</t>
  </si>
  <si>
    <t>Neutral</t>
  </si>
  <si>
    <t>Disagree</t>
  </si>
  <si>
    <t>No</t>
  </si>
  <si>
    <t>Doesn't really effect me</t>
  </si>
  <si>
    <t>Few times a week</t>
  </si>
  <si>
    <t>Neither reliable nor unreliable</t>
  </si>
  <si>
    <t>Idk</t>
  </si>
  <si>
    <t>Week+</t>
  </si>
  <si>
    <t xml:space="preserve">Doesn't really matter, I use any smart wearable technology available </t>
  </si>
  <si>
    <t>Once a day</t>
  </si>
  <si>
    <t>Somewhat reliable</t>
  </si>
  <si>
    <t>Strongly agree</t>
  </si>
  <si>
    <t xml:space="preserve">Idk 🤷‍♂️ </t>
  </si>
  <si>
    <t xml:space="preserve">because I don't care </t>
  </si>
  <si>
    <t>Yes</t>
  </si>
  <si>
    <t xml:space="preserve">Data privacy concerns. </t>
  </si>
  <si>
    <t>Privacy is important to me because wearable devices collect sensitive health data. I want to make sure my information is stored securely and not shared without my consent. It influences which brand and model I choose.</t>
  </si>
  <si>
    <t>Strongly disagree</t>
  </si>
  <si>
    <t>I’m cautious about data collection because I’m not totally sure how my health info is being used or who has access to it. That makes me hesitant to fully trust or rely on these devices.</t>
  </si>
  <si>
    <t>I take data privacy seriously, especially with all the personal metrics these devices collect. I only buy wearables from companies with a strong privacy policy and clear transparency on how data is stored or shared.</t>
  </si>
  <si>
    <t>Very reliable</t>
  </si>
  <si>
    <t>I don’t fully understand where my data goes, so I’m a bit wary. I chose a device that came recommended for privacy and ease of use. I don’t want my health information floating around without my knowledge.</t>
  </si>
  <si>
    <t>Once a week</t>
  </si>
  <si>
    <t>Honestly, I don’t really think much about data privacy. I use the wearable because it’s helpful and keeps me on track. As long as it works and doesn’t cause problems, I’m not too concerned about what happens with the data.</t>
  </si>
  <si>
    <t>I’m more into tech than worried about privacy. I like exploring new features and updates. If the device is cool and useful, I’ll use it — I figure data collection is just part of the package these days.</t>
  </si>
  <si>
    <t>Few times a day</t>
  </si>
  <si>
    <t>I prefer devices with strong data encryption and transparent privacy policies, as health data is sensitive.</t>
  </si>
  <si>
    <t>I prioritize functionality and accuracy over privacy concerns, as long as basic security measures are in place</t>
  </si>
  <si>
    <t>The Following is the above but converted into number format to allow for easier interpretation</t>
  </si>
  <si>
    <t>Question 1</t>
  </si>
  <si>
    <t>Question 2</t>
  </si>
  <si>
    <t>Question 3</t>
  </si>
  <si>
    <t>Question 4</t>
  </si>
  <si>
    <t>Question 5</t>
  </si>
  <si>
    <t>Question 6</t>
  </si>
  <si>
    <t>Question 7</t>
  </si>
  <si>
    <t>Question 8</t>
  </si>
  <si>
    <t>Question 9</t>
  </si>
  <si>
    <t>Question 10</t>
  </si>
  <si>
    <t>Question 11</t>
  </si>
  <si>
    <t>Question 12</t>
  </si>
  <si>
    <t>Question 13</t>
  </si>
  <si>
    <t>Question 14</t>
  </si>
  <si>
    <t>Count of Question 2</t>
  </si>
  <si>
    <t>Count of Question 1</t>
  </si>
  <si>
    <t>Count of Question 14</t>
  </si>
  <si>
    <t>Count of Question 13</t>
  </si>
  <si>
    <t>Count of Question 11</t>
  </si>
  <si>
    <t>Count of Question 10</t>
  </si>
  <si>
    <t>Count of Question 9</t>
  </si>
  <si>
    <t>Count of Question 8</t>
  </si>
  <si>
    <t>Count of Question 7</t>
  </si>
  <si>
    <t>Count of Question 6</t>
  </si>
  <si>
    <t>Count of Question 5</t>
  </si>
  <si>
    <t>Count of Question 3</t>
  </si>
  <si>
    <t>most expensive</t>
  </si>
  <si>
    <t>least expensive</t>
  </si>
  <si>
    <t>Strongly Disagree - Strongly Agree</t>
  </si>
  <si>
    <t>Strongly Disagree</t>
  </si>
  <si>
    <t>1-5</t>
  </si>
  <si>
    <t>On Average (Word values)</t>
  </si>
  <si>
    <t>On Average (Numeral values)</t>
  </si>
  <si>
    <t>Week + - Few times a day</t>
  </si>
  <si>
    <t>Once a Week</t>
  </si>
  <si>
    <t>Accuracy Rating (1-5)</t>
  </si>
  <si>
    <t>with star</t>
  </si>
  <si>
    <t>without star</t>
  </si>
  <si>
    <t>1 ★</t>
  </si>
  <si>
    <t>Brand Average Rating</t>
  </si>
  <si>
    <t>Row Labels</t>
  </si>
  <si>
    <t>Grand Total</t>
  </si>
  <si>
    <t>Very unreliable - very reliable</t>
  </si>
  <si>
    <t>Very unreliable</t>
  </si>
  <si>
    <t>link to Survey</t>
  </si>
  <si>
    <t>Category Maximums</t>
  </si>
  <si>
    <t>Category Minimums</t>
  </si>
  <si>
    <t>Somewhat unreliable</t>
  </si>
  <si>
    <t>Count of Device Accuracy</t>
  </si>
  <si>
    <t>There is a range of</t>
  </si>
  <si>
    <t>count of each answer</t>
  </si>
  <si>
    <t>Count of Question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</si>
</sst>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 h:mm:ss"/>
  </numFmts>
  <fonts count="5" x14ac:knownFonts="1">
    <font>
      <sz val="11"/>
      <color theme="1"/>
      <name val="Calibri"/>
      <family val="2"/>
      <scheme val="minor"/>
    </font>
    <font>
      <b/>
      <sz val="11"/>
      <color theme="0"/>
      <name val="Calibri"/>
      <family val="2"/>
      <scheme val="minor"/>
    </font>
    <font>
      <sz val="11"/>
      <color rgb="FF000000"/>
      <name val="Calibri"/>
      <family val="2"/>
    </font>
    <font>
      <u/>
      <sz val="11"/>
      <color theme="10"/>
      <name val="Calibri"/>
      <family val="2"/>
      <scheme val="minor"/>
    </font>
    <font>
      <sz val="1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00B050"/>
        <bgColor indexed="64"/>
      </patternFill>
    </fill>
    <fill>
      <patternFill patternType="solid">
        <fgColor theme="4"/>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theme="4" tint="0.39997558519241921"/>
      </left>
      <right/>
      <top style="thin">
        <color theme="4" tint="0.39997558519241921"/>
      </top>
      <bottom/>
      <diagonal/>
    </border>
    <border>
      <left/>
      <right/>
      <top style="thin">
        <color theme="4" tint="0.39997558519241921"/>
      </top>
      <bottom/>
      <diagonal/>
    </border>
  </borders>
  <cellStyleXfs count="2">
    <xf numFmtId="0" fontId="0" fillId="0" borderId="0"/>
    <xf numFmtId="0" fontId="3" fillId="0" borderId="0" applyNumberFormat="0" applyFill="0" applyBorder="0" applyAlignment="0" applyProtection="0"/>
  </cellStyleXfs>
  <cellXfs count="70">
    <xf numFmtId="0" fontId="0" fillId="0" borderId="0" xfId="0"/>
    <xf numFmtId="0" fontId="0" fillId="2" borderId="2" xfId="0" applyFill="1" applyBorder="1"/>
    <xf numFmtId="0" fontId="0" fillId="2" borderId="1" xfId="0" applyFill="1" applyBorder="1"/>
    <xf numFmtId="0" fontId="0" fillId="4" borderId="1" xfId="0" applyFill="1" applyBorder="1"/>
    <xf numFmtId="0" fontId="0" fillId="2" borderId="4" xfId="0" applyFill="1" applyBorder="1"/>
    <xf numFmtId="0" fontId="0" fillId="0" borderId="0" xfId="0" applyAlignment="1">
      <alignment horizontal="center"/>
    </xf>
    <xf numFmtId="0" fontId="0" fillId="5" borderId="1" xfId="0" applyFill="1" applyBorder="1" applyAlignment="1">
      <alignment horizontal="center" vertical="center"/>
    </xf>
    <xf numFmtId="0" fontId="0" fillId="2" borderId="6" xfId="0" applyFill="1" applyBorder="1" applyAlignment="1">
      <alignment horizontal="center" vertical="center"/>
    </xf>
    <xf numFmtId="0" fontId="0" fillId="2" borderId="6" xfId="0" applyFill="1" applyBorder="1" applyAlignment="1">
      <alignment horizontal="center" vertical="center" wrapText="1"/>
    </xf>
    <xf numFmtId="0" fontId="0" fillId="2" borderId="7" xfId="0" applyFill="1" applyBorder="1" applyAlignment="1">
      <alignment horizontal="center" vertical="center" wrapText="1"/>
    </xf>
    <xf numFmtId="0" fontId="0" fillId="0" borderId="0" xfId="0" pivotButton="1"/>
    <xf numFmtId="0" fontId="0" fillId="0" borderId="0" xfId="0" applyAlignment="1">
      <alignment wrapText="1"/>
    </xf>
    <xf numFmtId="164" fontId="0" fillId="0" borderId="0" xfId="0" applyNumberFormat="1" applyAlignment="1">
      <alignment wrapText="1"/>
    </xf>
    <xf numFmtId="0" fontId="1" fillId="6" borderId="8" xfId="0" applyFont="1" applyFill="1" applyBorder="1"/>
    <xf numFmtId="0" fontId="1" fillId="6" borderId="9" xfId="0" applyFont="1" applyFill="1" applyBorder="1"/>
    <xf numFmtId="0" fontId="1" fillId="6" borderId="10" xfId="0" applyFont="1" applyFill="1" applyBorder="1"/>
    <xf numFmtId="164" fontId="0" fillId="7" borderId="8" xfId="0" applyNumberFormat="1" applyFill="1" applyBorder="1" applyAlignment="1">
      <alignment wrapText="1"/>
    </xf>
    <xf numFmtId="0" fontId="0" fillId="7" borderId="8" xfId="0" applyFill="1" applyBorder="1" applyAlignment="1">
      <alignment wrapText="1"/>
    </xf>
    <xf numFmtId="164" fontId="0" fillId="0" borderId="8" xfId="0" applyNumberFormat="1" applyBorder="1" applyAlignment="1">
      <alignment wrapText="1"/>
    </xf>
    <xf numFmtId="0" fontId="0" fillId="0" borderId="8" xfId="0" applyBorder="1" applyAlignment="1">
      <alignment wrapText="1"/>
    </xf>
    <xf numFmtId="0" fontId="0" fillId="7" borderId="9" xfId="0" applyFill="1" applyBorder="1" applyAlignment="1">
      <alignment wrapText="1"/>
    </xf>
    <xf numFmtId="0" fontId="0" fillId="0" borderId="9" xfId="0" applyBorder="1" applyAlignment="1">
      <alignment wrapText="1"/>
    </xf>
    <xf numFmtId="0" fontId="0" fillId="8" borderId="0" xfId="0" applyFill="1"/>
    <xf numFmtId="2" fontId="0" fillId="0" borderId="0" xfId="0" applyNumberFormat="1"/>
    <xf numFmtId="0" fontId="1" fillId="6" borderId="1" xfId="0" applyFont="1" applyFill="1" applyBorder="1"/>
    <xf numFmtId="0" fontId="0" fillId="7" borderId="1" xfId="0" applyFill="1" applyBorder="1" applyAlignment="1">
      <alignment horizontal="center" wrapText="1"/>
    </xf>
    <xf numFmtId="164" fontId="0" fillId="7" borderId="1" xfId="0" applyNumberFormat="1" applyFill="1" applyBorder="1" applyAlignment="1">
      <alignment wrapText="1"/>
    </xf>
    <xf numFmtId="0" fontId="0" fillId="2" borderId="7" xfId="0" applyFill="1" applyBorder="1" applyAlignment="1">
      <alignment horizontal="center" vertical="center"/>
    </xf>
    <xf numFmtId="0" fontId="0" fillId="2" borderId="5" xfId="0" applyFill="1" applyBorder="1" applyAlignment="1">
      <alignment horizontal="center" vertical="center"/>
    </xf>
    <xf numFmtId="0" fontId="0" fillId="0" borderId="0" xfId="0" applyAlignment="1">
      <alignment horizontal="left"/>
    </xf>
    <xf numFmtId="0" fontId="3" fillId="0" borderId="0" xfId="1"/>
    <xf numFmtId="2" fontId="0" fillId="3" borderId="2" xfId="0" applyNumberFormat="1" applyFill="1" applyBorder="1"/>
    <xf numFmtId="2" fontId="0" fillId="3" borderId="4" xfId="0" applyNumberFormat="1" applyFill="1" applyBorder="1"/>
    <xf numFmtId="2" fontId="0" fillId="4" borderId="1" xfId="0" applyNumberFormat="1" applyFill="1" applyBorder="1"/>
    <xf numFmtId="2" fontId="0" fillId="4" borderId="2" xfId="0" applyNumberFormat="1" applyFill="1" applyBorder="1"/>
    <xf numFmtId="2" fontId="0" fillId="4" borderId="4" xfId="0" applyNumberFormat="1" applyFill="1" applyBorder="1"/>
    <xf numFmtId="2" fontId="0" fillId="4" borderId="3" xfId="0" applyNumberFormat="1" applyFill="1" applyBorder="1"/>
    <xf numFmtId="2" fontId="4" fillId="9" borderId="0" xfId="0" applyNumberFormat="1" applyFont="1" applyFill="1"/>
    <xf numFmtId="2" fontId="0" fillId="9" borderId="1" xfId="0" applyNumberFormat="1" applyFill="1" applyBorder="1"/>
    <xf numFmtId="0" fontId="0" fillId="7" borderId="1" xfId="0" applyFill="1" applyBorder="1" applyAlignment="1">
      <alignment horizontal="center" vertical="center" wrapText="1"/>
    </xf>
    <xf numFmtId="0" fontId="0" fillId="2" borderId="5" xfId="0" applyFill="1" applyBorder="1" applyAlignment="1">
      <alignment horizontal="center" vertical="center" wrapText="1"/>
    </xf>
    <xf numFmtId="2" fontId="4" fillId="9" borderId="4" xfId="0" applyNumberFormat="1" applyFont="1" applyFill="1" applyBorder="1" applyAlignment="1">
      <alignment horizontal="center"/>
    </xf>
    <xf numFmtId="0" fontId="0" fillId="2" borderId="1" xfId="0" applyFill="1" applyBorder="1" applyAlignment="1">
      <alignment horizontal="center"/>
    </xf>
    <xf numFmtId="2" fontId="0" fillId="4" borderId="11" xfId="0" applyNumberFormat="1" applyFill="1" applyBorder="1" applyAlignment="1">
      <alignment horizontal="center" vertical="center"/>
    </xf>
    <xf numFmtId="2" fontId="0" fillId="4" borderId="12" xfId="0" applyNumberFormat="1" applyFill="1" applyBorder="1" applyAlignment="1">
      <alignment horizontal="center" vertical="center"/>
    </xf>
    <xf numFmtId="2" fontId="0" fillId="4" borderId="13" xfId="0" applyNumberFormat="1" applyFill="1" applyBorder="1" applyAlignment="1">
      <alignment horizontal="center" vertical="center"/>
    </xf>
    <xf numFmtId="2" fontId="0" fillId="4" borderId="14" xfId="0" applyNumberFormat="1" applyFill="1" applyBorder="1" applyAlignment="1">
      <alignment horizontal="center" vertical="center"/>
    </xf>
    <xf numFmtId="0" fontId="0" fillId="4" borderId="2" xfId="0" applyFill="1" applyBorder="1" applyAlignment="1">
      <alignment horizontal="center"/>
    </xf>
    <xf numFmtId="0" fontId="0" fillId="4" borderId="4" xfId="0" applyFill="1" applyBorder="1" applyAlignment="1">
      <alignment horizontal="center"/>
    </xf>
    <xf numFmtId="0" fontId="0" fillId="4" borderId="3" xfId="0"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2" fontId="0" fillId="4" borderId="15" xfId="0" applyNumberFormat="1" applyFill="1" applyBorder="1" applyAlignment="1">
      <alignment horizontal="center" vertical="center"/>
    </xf>
    <xf numFmtId="2" fontId="0" fillId="4" borderId="16" xfId="0" applyNumberFormat="1" applyFill="1" applyBorder="1" applyAlignment="1">
      <alignment horizontal="center" vertical="center"/>
    </xf>
    <xf numFmtId="2" fontId="0" fillId="9" borderId="5" xfId="0" applyNumberFormat="1" applyFill="1" applyBorder="1" applyAlignment="1">
      <alignment horizontal="center" vertical="center"/>
    </xf>
    <xf numFmtId="2" fontId="0" fillId="9" borderId="7" xfId="0" applyNumberFormat="1" applyFill="1" applyBorder="1" applyAlignment="1">
      <alignment horizontal="center" vertical="center"/>
    </xf>
    <xf numFmtId="0" fontId="0" fillId="4" borderId="1" xfId="0" applyFill="1" applyBorder="1" applyAlignment="1">
      <alignment horizontal="center" vertical="center"/>
    </xf>
    <xf numFmtId="0" fontId="0" fillId="2" borderId="1" xfId="0" applyFill="1" applyBorder="1" applyAlignment="1">
      <alignment horizontal="center" wrapText="1"/>
    </xf>
    <xf numFmtId="0" fontId="0" fillId="2" borderId="5" xfId="0" applyFill="1" applyBorder="1" applyAlignment="1">
      <alignment horizontal="center" vertical="center"/>
    </xf>
    <xf numFmtId="0" fontId="0" fillId="2" borderId="6" xfId="0" applyFill="1" applyBorder="1" applyAlignment="1">
      <alignment horizontal="center" vertical="center"/>
    </xf>
    <xf numFmtId="0" fontId="0" fillId="5" borderId="5" xfId="0" applyFill="1" applyBorder="1" applyAlignment="1">
      <alignment horizontal="center" vertical="center" textRotation="90"/>
    </xf>
    <xf numFmtId="0" fontId="0" fillId="5" borderId="6" xfId="0" applyFill="1" applyBorder="1" applyAlignment="1">
      <alignment horizontal="center" vertical="center" textRotation="90"/>
    </xf>
    <xf numFmtId="0" fontId="0" fillId="5" borderId="6" xfId="0" applyFill="1" applyBorder="1" applyAlignment="1">
      <alignment horizontal="center" vertical="center" textRotation="90" wrapText="1"/>
    </xf>
    <xf numFmtId="0" fontId="0" fillId="2" borderId="7" xfId="0" applyFill="1" applyBorder="1" applyAlignment="1">
      <alignment horizontal="center" vertical="center"/>
    </xf>
    <xf numFmtId="0" fontId="0" fillId="2" borderId="0" xfId="0" applyFill="1" applyAlignment="1">
      <alignment horizontal="center"/>
    </xf>
    <xf numFmtId="0" fontId="0" fillId="7" borderId="9" xfId="0" applyFill="1" applyBorder="1" applyAlignment="1">
      <alignment horizontal="center" wrapText="1"/>
    </xf>
    <xf numFmtId="0" fontId="0" fillId="7" borderId="8" xfId="0" applyFill="1" applyBorder="1" applyAlignment="1">
      <alignment horizontal="center" wrapText="1"/>
    </xf>
    <xf numFmtId="0" fontId="0" fillId="0" borderId="17" xfId="0" applyBorder="1" applyAlignment="1">
      <alignment horizontal="center" wrapText="1"/>
    </xf>
    <xf numFmtId="0" fontId="0" fillId="0" borderId="18" xfId="0" applyBorder="1" applyAlignment="1">
      <alignment horizontal="center" wrapText="1"/>
    </xf>
    <xf numFmtId="0" fontId="0" fillId="0" borderId="0" xfId="0" applyNumberFormat="1"/>
  </cellXfs>
  <cellStyles count="2">
    <cellStyle name="Hyperlink" xfId="1" builtinId="8"/>
    <cellStyle name="Normal" xfId="0" builtinId="0"/>
  </cellStyles>
  <dxfs count="21">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64" formatCode="m/d/yy\ h:mm:ss"/>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64" formatCode="m/d/yy\ h:mm:ss"/>
      <alignment horizontal="general" vertical="bottom" textRotation="0" wrapText="1" indent="0" justifyLastLine="0" shrinkToFit="0" readingOrder="0"/>
    </dxf>
    <dxf>
      <numFmt numFmtId="164" formatCode="m/d/yy\ h:mm:ss"/>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1.jpeg"/><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ZA"/>
              <a:t>Price Comparisions of Brands Between Different Device Categories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stacked"/>
        <c:varyColors val="0"/>
        <c:ser>
          <c:idx val="0"/>
          <c:order val="0"/>
          <c:tx>
            <c:strRef>
              <c:f>Costs!$A$3</c:f>
              <c:strCache>
                <c:ptCount val="1"/>
                <c:pt idx="0">
                  <c:v>Apple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Costs!$B$1:$P$2</c15:sqref>
                  </c15:fullRef>
                  <c15:levelRef>
                    <c15:sqref>Costs!$B$1:$P$1</c15:sqref>
                  </c15:levelRef>
                </c:ext>
              </c:extLst>
              <c:f>Costs!$B$1:$P$1</c:f>
              <c:strCache>
                <c:ptCount val="15"/>
                <c:pt idx="0">
                  <c:v>smart watches</c:v>
                </c:pt>
                <c:pt idx="3">
                  <c:v>smart jewelry</c:v>
                </c:pt>
                <c:pt idx="6">
                  <c:v>fitness trackers</c:v>
                </c:pt>
                <c:pt idx="9">
                  <c:v>VR/AR</c:v>
                </c:pt>
                <c:pt idx="12">
                  <c:v>Smart Earbuds</c:v>
                </c:pt>
              </c:strCache>
            </c:strRef>
          </c:cat>
          <c:val>
            <c:numRef>
              <c:f>Costs!$B$3:$P$3</c:f>
              <c:numCache>
                <c:formatCode>0.00</c:formatCode>
                <c:ptCount val="15"/>
                <c:pt idx="0">
                  <c:v>6099</c:v>
                </c:pt>
                <c:pt idx="1">
                  <c:v>23399</c:v>
                </c:pt>
                <c:pt idx="2">
                  <c:v>14749</c:v>
                </c:pt>
                <c:pt idx="3">
                  <c:v>0</c:v>
                </c:pt>
                <c:pt idx="4">
                  <c:v>0</c:v>
                </c:pt>
                <c:pt idx="5">
                  <c:v>0</c:v>
                </c:pt>
                <c:pt idx="6">
                  <c:v>0</c:v>
                </c:pt>
                <c:pt idx="7">
                  <c:v>0</c:v>
                </c:pt>
                <c:pt idx="8">
                  <c:v>0</c:v>
                </c:pt>
                <c:pt idx="9">
                  <c:v>89999</c:v>
                </c:pt>
                <c:pt idx="10">
                  <c:v>129999</c:v>
                </c:pt>
                <c:pt idx="11">
                  <c:v>109999</c:v>
                </c:pt>
                <c:pt idx="12">
                  <c:v>2999</c:v>
                </c:pt>
                <c:pt idx="13">
                  <c:v>12799</c:v>
                </c:pt>
                <c:pt idx="14">
                  <c:v>7899</c:v>
                </c:pt>
              </c:numCache>
            </c:numRef>
          </c:val>
          <c:extLst>
            <c:ext xmlns:c16="http://schemas.microsoft.com/office/drawing/2014/chart" uri="{C3380CC4-5D6E-409C-BE32-E72D297353CC}">
              <c16:uniqueId val="{00000000-6A5B-4B8E-88EB-DB6A37B5DDA1}"/>
            </c:ext>
          </c:extLst>
        </c:ser>
        <c:ser>
          <c:idx val="1"/>
          <c:order val="1"/>
          <c:tx>
            <c:strRef>
              <c:f>Costs!$A$4</c:f>
              <c:strCache>
                <c:ptCount val="1"/>
                <c:pt idx="0">
                  <c:v>Samsung</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Costs!$B$1:$P$2</c15:sqref>
                  </c15:fullRef>
                  <c15:levelRef>
                    <c15:sqref>Costs!$B$1:$P$1</c15:sqref>
                  </c15:levelRef>
                </c:ext>
              </c:extLst>
              <c:f>Costs!$B$1:$P$1</c:f>
              <c:strCache>
                <c:ptCount val="15"/>
                <c:pt idx="0">
                  <c:v>smart watches</c:v>
                </c:pt>
                <c:pt idx="3">
                  <c:v>smart jewelry</c:v>
                </c:pt>
                <c:pt idx="6">
                  <c:v>fitness trackers</c:v>
                </c:pt>
                <c:pt idx="9">
                  <c:v>VR/AR</c:v>
                </c:pt>
                <c:pt idx="12">
                  <c:v>Smart Earbuds</c:v>
                </c:pt>
              </c:strCache>
            </c:strRef>
          </c:cat>
          <c:val>
            <c:numRef>
              <c:f>Costs!$B$4:$P$4</c:f>
              <c:numCache>
                <c:formatCode>0.00</c:formatCode>
                <c:ptCount val="15"/>
                <c:pt idx="0">
                  <c:v>4999</c:v>
                </c:pt>
                <c:pt idx="1">
                  <c:v>9999</c:v>
                </c:pt>
                <c:pt idx="2">
                  <c:v>7499</c:v>
                </c:pt>
                <c:pt idx="3">
                  <c:v>7999</c:v>
                </c:pt>
                <c:pt idx="4">
                  <c:v>0</c:v>
                </c:pt>
                <c:pt idx="5">
                  <c:v>7999</c:v>
                </c:pt>
                <c:pt idx="6">
                  <c:v>4999</c:v>
                </c:pt>
                <c:pt idx="7">
                  <c:v>9999</c:v>
                </c:pt>
                <c:pt idx="8">
                  <c:v>7499</c:v>
                </c:pt>
                <c:pt idx="9">
                  <c:v>899</c:v>
                </c:pt>
                <c:pt idx="10">
                  <c:v>0</c:v>
                </c:pt>
                <c:pt idx="11">
                  <c:v>899</c:v>
                </c:pt>
                <c:pt idx="12">
                  <c:v>1699</c:v>
                </c:pt>
                <c:pt idx="13">
                  <c:v>4999</c:v>
                </c:pt>
                <c:pt idx="14">
                  <c:v>3349</c:v>
                </c:pt>
              </c:numCache>
            </c:numRef>
          </c:val>
          <c:extLst>
            <c:ext xmlns:c16="http://schemas.microsoft.com/office/drawing/2014/chart" uri="{C3380CC4-5D6E-409C-BE32-E72D297353CC}">
              <c16:uniqueId val="{00000001-6A5B-4B8E-88EB-DB6A37B5DDA1}"/>
            </c:ext>
          </c:extLst>
        </c:ser>
        <c:ser>
          <c:idx val="2"/>
          <c:order val="2"/>
          <c:tx>
            <c:strRef>
              <c:f>Costs!$A$5</c:f>
              <c:strCache>
                <c:ptCount val="1"/>
                <c:pt idx="0">
                  <c:v>Fitbit</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Costs!$B$1:$P$2</c15:sqref>
                  </c15:fullRef>
                  <c15:levelRef>
                    <c15:sqref>Costs!$B$1:$P$1</c15:sqref>
                  </c15:levelRef>
                </c:ext>
              </c:extLst>
              <c:f>Costs!$B$1:$P$1</c:f>
              <c:strCache>
                <c:ptCount val="15"/>
                <c:pt idx="0">
                  <c:v>smart watches</c:v>
                </c:pt>
                <c:pt idx="3">
                  <c:v>smart jewelry</c:v>
                </c:pt>
                <c:pt idx="6">
                  <c:v>fitness trackers</c:v>
                </c:pt>
                <c:pt idx="9">
                  <c:v>VR/AR</c:v>
                </c:pt>
                <c:pt idx="12">
                  <c:v>Smart Earbuds</c:v>
                </c:pt>
              </c:strCache>
            </c:strRef>
          </c:cat>
          <c:val>
            <c:numRef>
              <c:f>Costs!$B$5:$P$5</c:f>
              <c:numCache>
                <c:formatCode>0.00</c:formatCode>
                <c:ptCount val="15"/>
                <c:pt idx="0">
                  <c:v>2837.85</c:v>
                </c:pt>
                <c:pt idx="1">
                  <c:v>6665.89</c:v>
                </c:pt>
                <c:pt idx="2">
                  <c:v>4751.87</c:v>
                </c:pt>
                <c:pt idx="3">
                  <c:v>0</c:v>
                </c:pt>
                <c:pt idx="4">
                  <c:v>0</c:v>
                </c:pt>
                <c:pt idx="5">
                  <c:v>0</c:v>
                </c:pt>
                <c:pt idx="6">
                  <c:v>1903.64</c:v>
                </c:pt>
                <c:pt idx="7">
                  <c:v>3046.4</c:v>
                </c:pt>
                <c:pt idx="8">
                  <c:v>2475.02</c:v>
                </c:pt>
                <c:pt idx="9">
                  <c:v>0</c:v>
                </c:pt>
                <c:pt idx="10">
                  <c:v>0</c:v>
                </c:pt>
                <c:pt idx="11">
                  <c:v>0</c:v>
                </c:pt>
                <c:pt idx="12">
                  <c:v>0</c:v>
                </c:pt>
                <c:pt idx="13">
                  <c:v>0</c:v>
                </c:pt>
                <c:pt idx="14">
                  <c:v>0</c:v>
                </c:pt>
              </c:numCache>
            </c:numRef>
          </c:val>
          <c:extLst>
            <c:ext xmlns:c16="http://schemas.microsoft.com/office/drawing/2014/chart" uri="{C3380CC4-5D6E-409C-BE32-E72D297353CC}">
              <c16:uniqueId val="{00000002-6A5B-4B8E-88EB-DB6A37B5DDA1}"/>
            </c:ext>
          </c:extLst>
        </c:ser>
        <c:ser>
          <c:idx val="3"/>
          <c:order val="3"/>
          <c:tx>
            <c:strRef>
              <c:f>Costs!$A$6</c:f>
              <c:strCache>
                <c:ptCount val="1"/>
                <c:pt idx="0">
                  <c:v>Garmin</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Costs!$B$1:$P$2</c15:sqref>
                  </c15:fullRef>
                  <c15:levelRef>
                    <c15:sqref>Costs!$B$1:$P$1</c15:sqref>
                  </c15:levelRef>
                </c:ext>
              </c:extLst>
              <c:f>Costs!$B$1:$P$1</c:f>
              <c:strCache>
                <c:ptCount val="15"/>
                <c:pt idx="0">
                  <c:v>smart watches</c:v>
                </c:pt>
                <c:pt idx="3">
                  <c:v>smart jewelry</c:v>
                </c:pt>
                <c:pt idx="6">
                  <c:v>fitness trackers</c:v>
                </c:pt>
                <c:pt idx="9">
                  <c:v>VR/AR</c:v>
                </c:pt>
                <c:pt idx="12">
                  <c:v>Smart Earbuds</c:v>
                </c:pt>
              </c:strCache>
            </c:strRef>
          </c:cat>
          <c:val>
            <c:numRef>
              <c:f>Costs!$B$6:$P$6</c:f>
              <c:numCache>
                <c:formatCode>0.00</c:formatCode>
                <c:ptCount val="15"/>
                <c:pt idx="0">
                  <c:v>1999</c:v>
                </c:pt>
                <c:pt idx="1">
                  <c:v>47499</c:v>
                </c:pt>
                <c:pt idx="2">
                  <c:v>24749</c:v>
                </c:pt>
                <c:pt idx="3">
                  <c:v>0</c:v>
                </c:pt>
                <c:pt idx="4">
                  <c:v>0</c:v>
                </c:pt>
                <c:pt idx="5">
                  <c:v>0</c:v>
                </c:pt>
                <c:pt idx="6">
                  <c:v>1999</c:v>
                </c:pt>
                <c:pt idx="7">
                  <c:v>19499</c:v>
                </c:pt>
                <c:pt idx="8">
                  <c:v>10749</c:v>
                </c:pt>
                <c:pt idx="9">
                  <c:v>0</c:v>
                </c:pt>
                <c:pt idx="10">
                  <c:v>0</c:v>
                </c:pt>
                <c:pt idx="11">
                  <c:v>0</c:v>
                </c:pt>
                <c:pt idx="12">
                  <c:v>0</c:v>
                </c:pt>
                <c:pt idx="13">
                  <c:v>0</c:v>
                </c:pt>
                <c:pt idx="14">
                  <c:v>0</c:v>
                </c:pt>
              </c:numCache>
            </c:numRef>
          </c:val>
          <c:extLst>
            <c:ext xmlns:c16="http://schemas.microsoft.com/office/drawing/2014/chart" uri="{C3380CC4-5D6E-409C-BE32-E72D297353CC}">
              <c16:uniqueId val="{00000003-6A5B-4B8E-88EB-DB6A37B5DDA1}"/>
            </c:ext>
          </c:extLst>
        </c:ser>
        <c:ser>
          <c:idx val="4"/>
          <c:order val="4"/>
          <c:tx>
            <c:strRef>
              <c:f>Costs!$A$7</c:f>
              <c:strCache>
                <c:ptCount val="1"/>
                <c:pt idx="0">
                  <c:v>Xiaomi</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Costs!$B$1:$P$2</c15:sqref>
                  </c15:fullRef>
                  <c15:levelRef>
                    <c15:sqref>Costs!$B$1:$P$1</c15:sqref>
                  </c15:levelRef>
                </c:ext>
              </c:extLst>
              <c:f>Costs!$B$1:$P$1</c:f>
              <c:strCache>
                <c:ptCount val="15"/>
                <c:pt idx="0">
                  <c:v>smart watches</c:v>
                </c:pt>
                <c:pt idx="3">
                  <c:v>smart jewelry</c:v>
                </c:pt>
                <c:pt idx="6">
                  <c:v>fitness trackers</c:v>
                </c:pt>
                <c:pt idx="9">
                  <c:v>VR/AR</c:v>
                </c:pt>
                <c:pt idx="12">
                  <c:v>Smart Earbuds</c:v>
                </c:pt>
              </c:strCache>
            </c:strRef>
          </c:cat>
          <c:val>
            <c:numRef>
              <c:f>Costs!$B$7:$P$7</c:f>
              <c:numCache>
                <c:formatCode>0.00</c:formatCode>
                <c:ptCount val="15"/>
                <c:pt idx="0">
                  <c:v>749</c:v>
                </c:pt>
                <c:pt idx="1">
                  <c:v>4718</c:v>
                </c:pt>
                <c:pt idx="2">
                  <c:v>2733.5</c:v>
                </c:pt>
                <c:pt idx="3">
                  <c:v>569</c:v>
                </c:pt>
                <c:pt idx="4">
                  <c:v>2200</c:v>
                </c:pt>
                <c:pt idx="5">
                  <c:v>1384.5</c:v>
                </c:pt>
                <c:pt idx="6">
                  <c:v>599</c:v>
                </c:pt>
                <c:pt idx="7">
                  <c:v>1799</c:v>
                </c:pt>
                <c:pt idx="8">
                  <c:v>1199</c:v>
                </c:pt>
                <c:pt idx="9">
                  <c:v>584</c:v>
                </c:pt>
                <c:pt idx="10">
                  <c:v>7200</c:v>
                </c:pt>
                <c:pt idx="11">
                  <c:v>3892</c:v>
                </c:pt>
                <c:pt idx="12">
                  <c:v>130</c:v>
                </c:pt>
                <c:pt idx="13">
                  <c:v>3500</c:v>
                </c:pt>
                <c:pt idx="14">
                  <c:v>1815</c:v>
                </c:pt>
              </c:numCache>
            </c:numRef>
          </c:val>
          <c:extLst>
            <c:ext xmlns:c16="http://schemas.microsoft.com/office/drawing/2014/chart" uri="{C3380CC4-5D6E-409C-BE32-E72D297353CC}">
              <c16:uniqueId val="{00000004-6A5B-4B8E-88EB-DB6A37B5DDA1}"/>
            </c:ext>
          </c:extLst>
        </c:ser>
        <c:ser>
          <c:idx val="5"/>
          <c:order val="5"/>
          <c:tx>
            <c:strRef>
              <c:f>Costs!$A$8</c:f>
              <c:strCache>
                <c:ptCount val="1"/>
                <c:pt idx="0">
                  <c:v>Meta</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Costs!$B$1:$P$2</c15:sqref>
                  </c15:fullRef>
                  <c15:levelRef>
                    <c15:sqref>Costs!$B$1:$P$1</c15:sqref>
                  </c15:levelRef>
                </c:ext>
              </c:extLst>
              <c:f>Costs!$B$1:$P$1</c:f>
              <c:strCache>
                <c:ptCount val="15"/>
                <c:pt idx="0">
                  <c:v>smart watches</c:v>
                </c:pt>
                <c:pt idx="3">
                  <c:v>smart jewelry</c:v>
                </c:pt>
                <c:pt idx="6">
                  <c:v>fitness trackers</c:v>
                </c:pt>
                <c:pt idx="9">
                  <c:v>VR/AR</c:v>
                </c:pt>
                <c:pt idx="12">
                  <c:v>Smart Earbuds</c:v>
                </c:pt>
              </c:strCache>
            </c:strRef>
          </c:cat>
          <c:val>
            <c:numRef>
              <c:f>Costs!$B$8:$P$8</c:f>
              <c:numCache>
                <c:formatCode>0.00</c:formatCode>
                <c:ptCount val="15"/>
                <c:pt idx="0">
                  <c:v>0</c:v>
                </c:pt>
                <c:pt idx="1">
                  <c:v>0</c:v>
                </c:pt>
                <c:pt idx="2">
                  <c:v>0</c:v>
                </c:pt>
                <c:pt idx="3">
                  <c:v>5676.69</c:v>
                </c:pt>
                <c:pt idx="4">
                  <c:v>7195.54</c:v>
                </c:pt>
                <c:pt idx="5">
                  <c:v>6436.1149999999998</c:v>
                </c:pt>
                <c:pt idx="6">
                  <c:v>599</c:v>
                </c:pt>
                <c:pt idx="7">
                  <c:v>1799</c:v>
                </c:pt>
                <c:pt idx="8">
                  <c:v>1199</c:v>
                </c:pt>
                <c:pt idx="9">
                  <c:v>0</c:v>
                </c:pt>
                <c:pt idx="10">
                  <c:v>0</c:v>
                </c:pt>
                <c:pt idx="11">
                  <c:v>0</c:v>
                </c:pt>
                <c:pt idx="12">
                  <c:v>0</c:v>
                </c:pt>
                <c:pt idx="13">
                  <c:v>0</c:v>
                </c:pt>
                <c:pt idx="14">
                  <c:v>0</c:v>
                </c:pt>
              </c:numCache>
            </c:numRef>
          </c:val>
          <c:extLst>
            <c:ext xmlns:c16="http://schemas.microsoft.com/office/drawing/2014/chart" uri="{C3380CC4-5D6E-409C-BE32-E72D297353CC}">
              <c16:uniqueId val="{00000005-6A5B-4B8E-88EB-DB6A37B5DDA1}"/>
            </c:ext>
          </c:extLst>
        </c:ser>
        <c:ser>
          <c:idx val="6"/>
          <c:order val="6"/>
          <c:tx>
            <c:strRef>
              <c:f>Costs!$A$9</c:f>
              <c:strCache>
                <c:ptCount val="1"/>
                <c:pt idx="0">
                  <c:v>Sony</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Costs!$B$1:$P$2</c15:sqref>
                  </c15:fullRef>
                  <c15:levelRef>
                    <c15:sqref>Costs!$B$1:$P$1</c15:sqref>
                  </c15:levelRef>
                </c:ext>
              </c:extLst>
              <c:f>Costs!$B$1:$P$1</c:f>
              <c:strCache>
                <c:ptCount val="15"/>
                <c:pt idx="0">
                  <c:v>smart watches</c:v>
                </c:pt>
                <c:pt idx="3">
                  <c:v>smart jewelry</c:v>
                </c:pt>
                <c:pt idx="6">
                  <c:v>fitness trackers</c:v>
                </c:pt>
                <c:pt idx="9">
                  <c:v>VR/AR</c:v>
                </c:pt>
                <c:pt idx="12">
                  <c:v>Smart Earbuds</c:v>
                </c:pt>
              </c:strCache>
            </c:strRef>
          </c:cat>
          <c:val>
            <c:numRef>
              <c:f>Costs!$B$9:$P$9</c:f>
              <c:numCache>
                <c:formatCode>0.00</c:formatCode>
                <c:ptCount val="15"/>
                <c:pt idx="0">
                  <c:v>2999</c:v>
                </c:pt>
                <c:pt idx="1">
                  <c:v>3395</c:v>
                </c:pt>
                <c:pt idx="2">
                  <c:v>3197</c:v>
                </c:pt>
                <c:pt idx="3">
                  <c:v>0</c:v>
                </c:pt>
                <c:pt idx="4">
                  <c:v>0</c:v>
                </c:pt>
                <c:pt idx="5">
                  <c:v>0</c:v>
                </c:pt>
                <c:pt idx="6">
                  <c:v>365</c:v>
                </c:pt>
                <c:pt idx="7">
                  <c:v>1190</c:v>
                </c:pt>
                <c:pt idx="8">
                  <c:v>777.5</c:v>
                </c:pt>
                <c:pt idx="9">
                  <c:v>13499</c:v>
                </c:pt>
                <c:pt idx="10">
                  <c:v>0</c:v>
                </c:pt>
                <c:pt idx="11">
                  <c:v>13499</c:v>
                </c:pt>
                <c:pt idx="12">
                  <c:v>899</c:v>
                </c:pt>
                <c:pt idx="13">
                  <c:v>5999</c:v>
                </c:pt>
                <c:pt idx="14">
                  <c:v>3449</c:v>
                </c:pt>
              </c:numCache>
            </c:numRef>
          </c:val>
          <c:extLst>
            <c:ext xmlns:c16="http://schemas.microsoft.com/office/drawing/2014/chart" uri="{C3380CC4-5D6E-409C-BE32-E72D297353CC}">
              <c16:uniqueId val="{00000006-6A5B-4B8E-88EB-DB6A37B5DDA1}"/>
            </c:ext>
          </c:extLst>
        </c:ser>
        <c:ser>
          <c:idx val="7"/>
          <c:order val="7"/>
          <c:tx>
            <c:strRef>
              <c:f>Costs!$A$10</c:f>
              <c:strCache>
                <c:ptCount val="1"/>
                <c:pt idx="0">
                  <c:v>Microsoft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Costs!$B$1:$P$2</c15:sqref>
                  </c15:fullRef>
                  <c15:levelRef>
                    <c15:sqref>Costs!$B$1:$P$1</c15:sqref>
                  </c15:levelRef>
                </c:ext>
              </c:extLst>
              <c:f>Costs!$B$1:$P$1</c:f>
              <c:strCache>
                <c:ptCount val="15"/>
                <c:pt idx="0">
                  <c:v>smart watches</c:v>
                </c:pt>
                <c:pt idx="3">
                  <c:v>smart jewelry</c:v>
                </c:pt>
                <c:pt idx="6">
                  <c:v>fitness trackers</c:v>
                </c:pt>
                <c:pt idx="9">
                  <c:v>VR/AR</c:v>
                </c:pt>
                <c:pt idx="12">
                  <c:v>Smart Earbuds</c:v>
                </c:pt>
              </c:strCache>
            </c:strRef>
          </c:cat>
          <c:val>
            <c:numRef>
              <c:f>Costs!$B$10:$P$10</c:f>
              <c:numCache>
                <c:formatCode>0.00</c:formatCode>
                <c:ptCount val="15"/>
                <c:pt idx="0">
                  <c:v>1999</c:v>
                </c:pt>
                <c:pt idx="1">
                  <c:v>3500</c:v>
                </c:pt>
                <c:pt idx="2">
                  <c:v>2749.5</c:v>
                </c:pt>
                <c:pt idx="3">
                  <c:v>0</c:v>
                </c:pt>
                <c:pt idx="4">
                  <c:v>0</c:v>
                </c:pt>
                <c:pt idx="5">
                  <c:v>0</c:v>
                </c:pt>
                <c:pt idx="6">
                  <c:v>1999</c:v>
                </c:pt>
                <c:pt idx="7">
                  <c:v>3500</c:v>
                </c:pt>
                <c:pt idx="8">
                  <c:v>2749.5</c:v>
                </c:pt>
                <c:pt idx="9">
                  <c:v>18000</c:v>
                </c:pt>
                <c:pt idx="10">
                  <c:v>48500</c:v>
                </c:pt>
                <c:pt idx="11">
                  <c:v>33250</c:v>
                </c:pt>
                <c:pt idx="12">
                  <c:v>3000</c:v>
                </c:pt>
                <c:pt idx="13">
                  <c:v>0</c:v>
                </c:pt>
                <c:pt idx="14">
                  <c:v>3000</c:v>
                </c:pt>
              </c:numCache>
            </c:numRef>
          </c:val>
          <c:extLst>
            <c:ext xmlns:c16="http://schemas.microsoft.com/office/drawing/2014/chart" uri="{C3380CC4-5D6E-409C-BE32-E72D297353CC}">
              <c16:uniqueId val="{00000007-6A5B-4B8E-88EB-DB6A37B5DDA1}"/>
            </c:ext>
          </c:extLst>
        </c:ser>
        <c:dLbls>
          <c:showLegendKey val="0"/>
          <c:showVal val="0"/>
          <c:showCatName val="0"/>
          <c:showSerName val="0"/>
          <c:showPercent val="0"/>
          <c:showBubbleSize val="0"/>
        </c:dLbls>
        <c:gapWidth val="150"/>
        <c:overlap val="100"/>
        <c:axId val="666693184"/>
        <c:axId val="666696544"/>
      </c:barChart>
      <c:catAx>
        <c:axId val="66669318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66696544"/>
        <c:crosses val="autoZero"/>
        <c:auto val="1"/>
        <c:lblAlgn val="ctr"/>
        <c:lblOffset val="100"/>
        <c:noMultiLvlLbl val="0"/>
      </c:catAx>
      <c:valAx>
        <c:axId val="666696544"/>
        <c:scaling>
          <c:orientation val="minMax"/>
        </c:scaling>
        <c:delete val="0"/>
        <c:axPos val="b"/>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66693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Wearable Technologies Excel.xlsm]Best wearable!PivotTable12</c:name>
    <c:fmtId val="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Number of</a:t>
            </a:r>
            <a:r>
              <a:rPr lang="en-US" baseline="0"/>
              <a:t> Devices Per Rating</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'Best wearable'!$B$15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'Best wearable'!$A$16:$A$19</c:f>
              <c:strCache>
                <c:ptCount val="4"/>
                <c:pt idx="0">
                  <c:v>2 ★</c:v>
                </c:pt>
                <c:pt idx="1">
                  <c:v>3 ★</c:v>
                </c:pt>
                <c:pt idx="2">
                  <c:v>4 ★</c:v>
                </c:pt>
                <c:pt idx="3">
                  <c:v>5 ★</c:v>
                </c:pt>
              </c:strCache>
            </c:strRef>
          </c:cat>
          <c:val>
            <c:numRef>
              <c:f>'Best wearable'!$B$16:$B$19</c:f>
              <c:numCache>
                <c:formatCode>General</c:formatCode>
                <c:ptCount val="4"/>
                <c:pt idx="0">
                  <c:v>2</c:v>
                </c:pt>
                <c:pt idx="1">
                  <c:v>3</c:v>
                </c:pt>
                <c:pt idx="2">
                  <c:v>5</c:v>
                </c:pt>
                <c:pt idx="3">
                  <c:v>2</c:v>
                </c:pt>
              </c:numCache>
            </c:numRef>
          </c:val>
          <c:extLst>
            <c:ext xmlns:c16="http://schemas.microsoft.com/office/drawing/2014/chart" uri="{C3380CC4-5D6E-409C-BE32-E72D297353CC}">
              <c16:uniqueId val="{00000000-47E8-4A27-A25D-1A402D92E890}"/>
            </c:ext>
          </c:extLst>
        </c:ser>
        <c:dLbls>
          <c:showLegendKey val="0"/>
          <c:showVal val="0"/>
          <c:showCatName val="0"/>
          <c:showSerName val="0"/>
          <c:showPercent val="0"/>
          <c:showBubbleSize val="0"/>
        </c:dLbls>
        <c:gapWidth val="115"/>
        <c:axId val="41077296"/>
        <c:axId val="41066736"/>
      </c:barChart>
      <c:catAx>
        <c:axId val="4107729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066736"/>
        <c:crosses val="autoZero"/>
        <c:auto val="1"/>
        <c:lblAlgn val="ctr"/>
        <c:lblOffset val="100"/>
        <c:noMultiLvlLbl val="0"/>
      </c:catAx>
      <c:valAx>
        <c:axId val="4106673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0772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a:t>Count</a:t>
            </a:r>
            <a:r>
              <a:rPr lang="en-ZA" baseline="0"/>
              <a:t> of Answers</a:t>
            </a:r>
            <a:endParaRPr lang="en-Z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ZA"/>
        </a:p>
      </c:txPr>
    </c:title>
    <c:autoTitleDeleted val="0"/>
    <c:plotArea>
      <c:layout/>
      <c:barChart>
        <c:barDir val="bar"/>
        <c:grouping val="clustered"/>
        <c:varyColors val="0"/>
        <c:ser>
          <c:idx val="0"/>
          <c:order val="0"/>
          <c:spPr>
            <a:solidFill>
              <a:schemeClr val="accent1"/>
            </a:solidFill>
            <a:ln>
              <a:noFill/>
            </a:ln>
            <a:effectLst/>
          </c:spPr>
          <c:invertIfNegative val="0"/>
          <c:cat>
            <c:strRef>
              <c:f>'Survey Results'!$A$43:$A$60</c:f>
              <c:strCache>
                <c:ptCount val="18"/>
                <c:pt idx="0">
                  <c:v>count of each answer</c:v>
                </c:pt>
                <c:pt idx="1">
                  <c:v>Strongly Disagree</c:v>
                </c:pt>
                <c:pt idx="2">
                  <c:v>Disagree</c:v>
                </c:pt>
                <c:pt idx="3">
                  <c:v>Neutral</c:v>
                </c:pt>
                <c:pt idx="4">
                  <c:v>Agree</c:v>
                </c:pt>
                <c:pt idx="5">
                  <c:v>Strongly agree</c:v>
                </c:pt>
                <c:pt idx="6">
                  <c:v>Very unreliable</c:v>
                </c:pt>
                <c:pt idx="7">
                  <c:v>Somewhat unreliable</c:v>
                </c:pt>
                <c:pt idx="8">
                  <c:v>Neither reliable nor unreliable</c:v>
                </c:pt>
                <c:pt idx="9">
                  <c:v>Somewhat reliable</c:v>
                </c:pt>
                <c:pt idx="10">
                  <c:v>Very reliable</c:v>
                </c:pt>
                <c:pt idx="11">
                  <c:v>Few times a day</c:v>
                </c:pt>
                <c:pt idx="12">
                  <c:v>Once a day</c:v>
                </c:pt>
                <c:pt idx="13">
                  <c:v>Few times a week</c:v>
                </c:pt>
                <c:pt idx="14">
                  <c:v>Once a Week</c:v>
                </c:pt>
                <c:pt idx="15">
                  <c:v>Week+</c:v>
                </c:pt>
                <c:pt idx="16">
                  <c:v>Yes</c:v>
                </c:pt>
                <c:pt idx="17">
                  <c:v>No</c:v>
                </c:pt>
              </c:strCache>
            </c:strRef>
          </c:cat>
          <c:val>
            <c:numRef>
              <c:f>'Survey Results'!$B$43:$B$60</c:f>
              <c:numCache>
                <c:formatCode>General</c:formatCode>
                <c:ptCount val="18"/>
                <c:pt idx="1">
                  <c:v>2</c:v>
                </c:pt>
                <c:pt idx="2">
                  <c:v>23</c:v>
                </c:pt>
                <c:pt idx="3">
                  <c:v>39</c:v>
                </c:pt>
                <c:pt idx="4">
                  <c:v>36</c:v>
                </c:pt>
                <c:pt idx="5">
                  <c:v>40</c:v>
                </c:pt>
                <c:pt idx="6">
                  <c:v>0</c:v>
                </c:pt>
                <c:pt idx="7">
                  <c:v>0</c:v>
                </c:pt>
                <c:pt idx="8">
                  <c:v>5</c:v>
                </c:pt>
                <c:pt idx="9">
                  <c:v>7</c:v>
                </c:pt>
                <c:pt idx="10">
                  <c:v>2</c:v>
                </c:pt>
                <c:pt idx="11">
                  <c:v>1</c:v>
                </c:pt>
                <c:pt idx="12">
                  <c:v>5</c:v>
                </c:pt>
                <c:pt idx="13">
                  <c:v>6</c:v>
                </c:pt>
                <c:pt idx="14">
                  <c:v>1</c:v>
                </c:pt>
                <c:pt idx="15">
                  <c:v>1</c:v>
                </c:pt>
                <c:pt idx="16">
                  <c:v>6</c:v>
                </c:pt>
                <c:pt idx="17">
                  <c:v>8</c:v>
                </c:pt>
              </c:numCache>
            </c:numRef>
          </c:val>
          <c:extLst>
            <c:ext xmlns:c16="http://schemas.microsoft.com/office/drawing/2014/chart" uri="{C3380CC4-5D6E-409C-BE32-E72D297353CC}">
              <c16:uniqueId val="{00000000-CA94-462D-A8DC-0CE1AEEBA459}"/>
            </c:ext>
          </c:extLst>
        </c:ser>
        <c:dLbls>
          <c:showLegendKey val="0"/>
          <c:showVal val="0"/>
          <c:showCatName val="0"/>
          <c:showSerName val="0"/>
          <c:showPercent val="0"/>
          <c:showBubbleSize val="0"/>
        </c:dLbls>
        <c:gapWidth val="182"/>
        <c:axId val="1484837472"/>
        <c:axId val="1484837952"/>
      </c:barChart>
      <c:catAx>
        <c:axId val="14848374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4837952"/>
        <c:crosses val="autoZero"/>
        <c:auto val="1"/>
        <c:lblAlgn val="ctr"/>
        <c:lblOffset val="100"/>
        <c:noMultiLvlLbl val="0"/>
      </c:catAx>
      <c:valAx>
        <c:axId val="14848379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4837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dpi="0" rotWithShape="1">
      <a:blip xmlns:r="http://schemas.openxmlformats.org/officeDocument/2006/relationships" r:embed="rId3">
        <a:alphaModFix amt="72000"/>
      </a:blip>
      <a:srcRect/>
      <a:tile tx="0" ty="0" sx="100000" sy="100000" flip="none" algn="tl"/>
    </a:blip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Wearable Technologies Excel.xlsm]Survery Graphs!PivotTable3</c:name>
    <c:fmtId val="1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ZA"/>
              <a:t>Question 1 Answers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'Survery Graphs'!$B$1</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9530-4586-AED8-A6CE20DC839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9530-4586-AED8-A6CE20DC839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9530-4586-AED8-A6CE20DC839F}"/>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9530-4586-AED8-A6CE20DC839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'Survery Graphs'!$A$2:$A$6</c:f>
              <c:strCache>
                <c:ptCount val="4"/>
                <c:pt idx="0">
                  <c:v>Agree</c:v>
                </c:pt>
                <c:pt idx="1">
                  <c:v>Disagree</c:v>
                </c:pt>
                <c:pt idx="2">
                  <c:v>Neutral</c:v>
                </c:pt>
                <c:pt idx="3">
                  <c:v>Strongly agree</c:v>
                </c:pt>
              </c:strCache>
            </c:strRef>
          </c:cat>
          <c:val>
            <c:numRef>
              <c:f>'Survery Graphs'!$B$2:$B$6</c:f>
              <c:numCache>
                <c:formatCode>General</c:formatCode>
                <c:ptCount val="4"/>
                <c:pt idx="0">
                  <c:v>3</c:v>
                </c:pt>
                <c:pt idx="1">
                  <c:v>1</c:v>
                </c:pt>
                <c:pt idx="2">
                  <c:v>5</c:v>
                </c:pt>
                <c:pt idx="3">
                  <c:v>5</c:v>
                </c:pt>
              </c:numCache>
            </c:numRef>
          </c:val>
          <c:extLst>
            <c:ext xmlns:c16="http://schemas.microsoft.com/office/drawing/2014/chart" uri="{C3380CC4-5D6E-409C-BE32-E72D297353CC}">
              <c16:uniqueId val="{00000008-D8B5-4099-B32C-4979A561CE7A}"/>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6350380190460301"/>
          <c:y val="0.36473499200009518"/>
          <c:w val="0.24848949478302892"/>
          <c:h val="0.36443283946064575"/>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Wearable Technologies Excel.xlsm]Survery Graphs!PivotTable11</c:name>
    <c:fmtId val="1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ZA"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rPr>
              <a:t>Question 6 Answers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'Survery Graphs'!$E$22</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0CE-44EE-A62F-C59D2D89AF5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60CE-44EE-A62F-C59D2D89AF5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60CE-44EE-A62F-C59D2D89AF5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60CE-44EE-A62F-C59D2D89AF5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60CE-44EE-A62F-C59D2D89AF5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'Survery Graphs'!$D$23:$D$28</c:f>
              <c:strCache>
                <c:ptCount val="5"/>
                <c:pt idx="0">
                  <c:v>Agree</c:v>
                </c:pt>
                <c:pt idx="1">
                  <c:v>Disagree</c:v>
                </c:pt>
                <c:pt idx="2">
                  <c:v>Neutral</c:v>
                </c:pt>
                <c:pt idx="3">
                  <c:v>Strongly agree</c:v>
                </c:pt>
                <c:pt idx="4">
                  <c:v>Strongly disagree</c:v>
                </c:pt>
              </c:strCache>
            </c:strRef>
          </c:cat>
          <c:val>
            <c:numRef>
              <c:f>'Survery Graphs'!$E$23:$E$28</c:f>
              <c:numCache>
                <c:formatCode>General</c:formatCode>
                <c:ptCount val="5"/>
                <c:pt idx="0">
                  <c:v>4</c:v>
                </c:pt>
                <c:pt idx="1">
                  <c:v>2</c:v>
                </c:pt>
                <c:pt idx="2">
                  <c:v>3</c:v>
                </c:pt>
                <c:pt idx="3">
                  <c:v>4</c:v>
                </c:pt>
                <c:pt idx="4">
                  <c:v>1</c:v>
                </c:pt>
              </c:numCache>
            </c:numRef>
          </c:val>
          <c:extLst>
            <c:ext xmlns:c16="http://schemas.microsoft.com/office/drawing/2014/chart" uri="{C3380CC4-5D6E-409C-BE32-E72D297353CC}">
              <c16:uniqueId val="{00000000-F0F0-48CF-8F01-01128030C2A7}"/>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3453815261044177"/>
          <c:y val="0.36781376552290607"/>
          <c:w val="0.33333333333333331"/>
          <c:h val="0.50927376868723939"/>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Wearable Technologies Excel.xlsm]Survery Graphs!PivotTable4</c:name>
    <c:fmtId val="1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ZA" sz="1400" b="1" i="0" u="none" strike="noStrike" kern="1200" spc="100" baseline="0">
                <a:solidFill>
                  <a:sysClr val="window" lastClr="FFFFFF">
                    <a:lumMod val="95000"/>
                  </a:sysClr>
                </a:solidFill>
                <a:effectLst>
                  <a:outerShdw blurRad="50800" dist="38100" dir="5400000" algn="t" rotWithShape="0">
                    <a:prstClr val="black">
                      <a:alpha val="40000"/>
                    </a:prstClr>
                  </a:outerShdw>
                </a:effectLst>
              </a:rPr>
              <a:t>Question 2 Answers</a:t>
            </a:r>
            <a:endParaRPr lang="en-ZA"/>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ZA"/>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'Survery Graphs'!$E$1</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681-41D1-BADE-28A49D8951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681-41D1-BADE-28A49D8951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681-41D1-BADE-28A49D8951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2681-41D1-BADE-28A49D8951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'Survery Graphs'!$D$2:$D$6</c:f>
              <c:strCache>
                <c:ptCount val="4"/>
                <c:pt idx="0">
                  <c:v>Agree</c:v>
                </c:pt>
                <c:pt idx="1">
                  <c:v>Disagree</c:v>
                </c:pt>
                <c:pt idx="2">
                  <c:v>Neutral</c:v>
                </c:pt>
                <c:pt idx="3">
                  <c:v>Strongly agree</c:v>
                </c:pt>
              </c:strCache>
            </c:strRef>
          </c:cat>
          <c:val>
            <c:numRef>
              <c:f>'Survery Graphs'!$E$2:$E$6</c:f>
              <c:numCache>
                <c:formatCode>General</c:formatCode>
                <c:ptCount val="4"/>
                <c:pt idx="0">
                  <c:v>4</c:v>
                </c:pt>
                <c:pt idx="1">
                  <c:v>3</c:v>
                </c:pt>
                <c:pt idx="2">
                  <c:v>3</c:v>
                </c:pt>
                <c:pt idx="3">
                  <c:v>4</c:v>
                </c:pt>
              </c:numCache>
            </c:numRef>
          </c:val>
          <c:extLst>
            <c:ext xmlns:c16="http://schemas.microsoft.com/office/drawing/2014/chart" uri="{C3380CC4-5D6E-409C-BE32-E72D297353CC}">
              <c16:uniqueId val="{00000008-0357-4BE7-A2DA-D0696D5F744A}"/>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5908823825964213"/>
          <c:y val="0.35455357142857147"/>
          <c:w val="0.24848949478302892"/>
          <c:h val="0.364708333333333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Wearable Technologies Excel.xlsm]Survery Graphs!PivotTable5</c:name>
    <c:fmtId val="1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ZA" sz="1400" b="1" i="0" u="none" strike="noStrike" kern="1200" spc="100" baseline="0">
                <a:solidFill>
                  <a:sysClr val="window" lastClr="FFFFFF">
                    <a:lumMod val="95000"/>
                  </a:sysClr>
                </a:solidFill>
                <a:effectLst>
                  <a:outerShdw blurRad="50800" dist="38100" dir="5400000" algn="t" rotWithShape="0">
                    <a:prstClr val="black">
                      <a:alpha val="40000"/>
                    </a:prstClr>
                  </a:outerShdw>
                </a:effectLst>
              </a:rPr>
              <a:t>Question 3 Answers</a:t>
            </a:r>
            <a:endParaRPr lang="en-ZA"/>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ZA"/>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'Survery Graphs'!$H$1</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9CD-4BA2-BC33-124014B7055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9CD-4BA2-BC33-124014B7055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9CD-4BA2-BC33-124014B7055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29CD-4BA2-BC33-124014B7055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'Survery Graphs'!$G$2:$G$6</c:f>
              <c:strCache>
                <c:ptCount val="4"/>
                <c:pt idx="0">
                  <c:v>Agree</c:v>
                </c:pt>
                <c:pt idx="1">
                  <c:v>Disagree</c:v>
                </c:pt>
                <c:pt idx="2">
                  <c:v>Neutral</c:v>
                </c:pt>
                <c:pt idx="3">
                  <c:v>Strongly agree</c:v>
                </c:pt>
              </c:strCache>
            </c:strRef>
          </c:cat>
          <c:val>
            <c:numRef>
              <c:f>'Survery Graphs'!$H$2:$H$6</c:f>
              <c:numCache>
                <c:formatCode>General</c:formatCode>
                <c:ptCount val="4"/>
                <c:pt idx="0">
                  <c:v>3</c:v>
                </c:pt>
                <c:pt idx="1">
                  <c:v>2</c:v>
                </c:pt>
                <c:pt idx="2">
                  <c:v>6</c:v>
                </c:pt>
                <c:pt idx="3">
                  <c:v>3</c:v>
                </c:pt>
              </c:numCache>
            </c:numRef>
          </c:val>
          <c:extLst>
            <c:ext xmlns:c16="http://schemas.microsoft.com/office/drawing/2014/chart" uri="{C3380CC4-5D6E-409C-BE32-E72D297353CC}">
              <c16:uniqueId val="{00000008-8589-49C2-977B-9180013CA930}"/>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71215173611111116"/>
          <c:y val="0.41909712700551233"/>
          <c:w val="0.28784807541775859"/>
          <c:h val="0.36526057253228089"/>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Wearable Technologies Excel.xlsm]Survery Graphs!PivotTable6</c:name>
    <c:fmtId val="1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Question</a:t>
            </a:r>
            <a:r>
              <a:rPr lang="en-US" baseline="0"/>
              <a:t> 5 answers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'Survery Graphs'!$B$22</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E15-48FF-914E-D45B83B1BDBB}"/>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FE15-48FF-914E-D45B83B1BDBB}"/>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FE15-48FF-914E-D45B83B1BDBB}"/>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FE15-48FF-914E-D45B83B1BDB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'Survery Graphs'!$A$23:$A$27</c:f>
              <c:strCache>
                <c:ptCount val="4"/>
                <c:pt idx="0">
                  <c:v>Agree</c:v>
                </c:pt>
                <c:pt idx="1">
                  <c:v>Disagree</c:v>
                </c:pt>
                <c:pt idx="2">
                  <c:v>Neutral</c:v>
                </c:pt>
                <c:pt idx="3">
                  <c:v>Strongly agree</c:v>
                </c:pt>
              </c:strCache>
            </c:strRef>
          </c:cat>
          <c:val>
            <c:numRef>
              <c:f>'Survery Graphs'!$B$23:$B$27</c:f>
              <c:numCache>
                <c:formatCode>General</c:formatCode>
                <c:ptCount val="4"/>
                <c:pt idx="0">
                  <c:v>4</c:v>
                </c:pt>
                <c:pt idx="1">
                  <c:v>5</c:v>
                </c:pt>
                <c:pt idx="2">
                  <c:v>1</c:v>
                </c:pt>
                <c:pt idx="3">
                  <c:v>4</c:v>
                </c:pt>
              </c:numCache>
            </c:numRef>
          </c:val>
          <c:extLst>
            <c:ext xmlns:c16="http://schemas.microsoft.com/office/drawing/2014/chart" uri="{C3380CC4-5D6E-409C-BE32-E72D297353CC}">
              <c16:uniqueId val="{00000008-D3A5-44FE-BB1F-D33B4220FF62}"/>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71138811717112638"/>
          <c:y val="0.39410088801917598"/>
          <c:w val="0.24848949478302892"/>
          <c:h val="0.36526057253228089"/>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Wearable Technologies Excel.xlsm]Survery Graphs!PivotTable10</c:name>
    <c:fmtId val="1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ZA"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rPr>
              <a:t>Question 7 Answers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'Survery Graphs'!$H$22</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12A0-4DEF-9AC0-9E6DF5C1AB89}"/>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12A0-4DEF-9AC0-9E6DF5C1AB89}"/>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12A0-4DEF-9AC0-9E6DF5C1AB89}"/>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12A0-4DEF-9AC0-9E6DF5C1AB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'Survery Graphs'!$G$23:$G$27</c:f>
              <c:strCache>
                <c:ptCount val="4"/>
                <c:pt idx="0">
                  <c:v>Agree</c:v>
                </c:pt>
                <c:pt idx="1">
                  <c:v>Disagree</c:v>
                </c:pt>
                <c:pt idx="2">
                  <c:v>Neutral</c:v>
                </c:pt>
                <c:pt idx="3">
                  <c:v>Strongly agree</c:v>
                </c:pt>
              </c:strCache>
            </c:strRef>
          </c:cat>
          <c:val>
            <c:numRef>
              <c:f>'Survery Graphs'!$H$23:$H$27</c:f>
              <c:numCache>
                <c:formatCode>General</c:formatCode>
                <c:ptCount val="4"/>
                <c:pt idx="0">
                  <c:v>5</c:v>
                </c:pt>
                <c:pt idx="1">
                  <c:v>2</c:v>
                </c:pt>
                <c:pt idx="2">
                  <c:v>2</c:v>
                </c:pt>
                <c:pt idx="3">
                  <c:v>5</c:v>
                </c:pt>
              </c:numCache>
            </c:numRef>
          </c:val>
          <c:extLst>
            <c:ext xmlns:c16="http://schemas.microsoft.com/office/drawing/2014/chart" uri="{C3380CC4-5D6E-409C-BE32-E72D297353CC}">
              <c16:uniqueId val="{00000008-B02A-4CEE-A03B-F598572ADF3F}"/>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7117704324123233"/>
          <c:y val="0.43946969066609609"/>
          <c:w val="0.24848949478302892"/>
          <c:h val="0.36415776147966761"/>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Wearable Technologies Excel.xlsm]Survery Graphs!PivotTable9</c:name>
    <c:fmtId val="1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ZA"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rPr>
              <a:t>Question 8 Answers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'Survery Graphs'!$K$22</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19B-4271-B3F0-EC60F5CCF0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19B-4271-B3F0-EC60F5CCF0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719B-4271-B3F0-EC60F5CCF0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719B-4271-B3F0-EC60F5CCF0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'Survery Graphs'!$J$23:$J$27</c:f>
              <c:strCache>
                <c:ptCount val="4"/>
                <c:pt idx="0">
                  <c:v>Agree</c:v>
                </c:pt>
                <c:pt idx="1">
                  <c:v>Disagree</c:v>
                </c:pt>
                <c:pt idx="2">
                  <c:v>Neutral</c:v>
                </c:pt>
                <c:pt idx="3">
                  <c:v>Strongly agree</c:v>
                </c:pt>
              </c:strCache>
            </c:strRef>
          </c:cat>
          <c:val>
            <c:numRef>
              <c:f>'Survery Graphs'!$K$23:$K$27</c:f>
              <c:numCache>
                <c:formatCode>General</c:formatCode>
                <c:ptCount val="4"/>
                <c:pt idx="0">
                  <c:v>4</c:v>
                </c:pt>
                <c:pt idx="1">
                  <c:v>3</c:v>
                </c:pt>
                <c:pt idx="2">
                  <c:v>4</c:v>
                </c:pt>
                <c:pt idx="3">
                  <c:v>3</c:v>
                </c:pt>
              </c:numCache>
            </c:numRef>
          </c:val>
          <c:extLst>
            <c:ext xmlns:c16="http://schemas.microsoft.com/office/drawing/2014/chart" uri="{C3380CC4-5D6E-409C-BE32-E72D297353CC}">
              <c16:uniqueId val="{0000000A-15BA-4FE8-A96F-34BBDCB178AF}"/>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71215173611111116"/>
          <c:y val="0.41430931805484561"/>
          <c:w val="0.24816076388888889"/>
          <c:h val="0.36415776147966761"/>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Wearable Technologies Excel.xlsm]Survery Graphs!PivotTable8</c:name>
    <c:fmtId val="1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ZA"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rPr>
              <a:t>Question 9 Answers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'Survery Graphs'!$B$44</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FE3-4FB7-B00A-F42E095AD38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FE3-4FB7-B00A-F42E095AD38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EFE3-4FB7-B00A-F42E095AD38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EFE3-4FB7-B00A-F42E095AD38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EFE3-4FB7-B00A-F42E095AD38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'Survery Graphs'!$A$45:$A$50</c:f>
              <c:strCache>
                <c:ptCount val="5"/>
                <c:pt idx="0">
                  <c:v>Agree</c:v>
                </c:pt>
                <c:pt idx="1">
                  <c:v>Disagree</c:v>
                </c:pt>
                <c:pt idx="2">
                  <c:v>Neutral</c:v>
                </c:pt>
                <c:pt idx="3">
                  <c:v>Strongly agree</c:v>
                </c:pt>
                <c:pt idx="4">
                  <c:v>Strongly disagree</c:v>
                </c:pt>
              </c:strCache>
            </c:strRef>
          </c:cat>
          <c:val>
            <c:numRef>
              <c:f>'Survery Graphs'!$B$45:$B$50</c:f>
              <c:numCache>
                <c:formatCode>General</c:formatCode>
                <c:ptCount val="5"/>
                <c:pt idx="0">
                  <c:v>2</c:v>
                </c:pt>
                <c:pt idx="1">
                  <c:v>2</c:v>
                </c:pt>
                <c:pt idx="2">
                  <c:v>7</c:v>
                </c:pt>
                <c:pt idx="3">
                  <c:v>2</c:v>
                </c:pt>
                <c:pt idx="4">
                  <c:v>1</c:v>
                </c:pt>
              </c:numCache>
            </c:numRef>
          </c:val>
          <c:extLst>
            <c:ext xmlns:c16="http://schemas.microsoft.com/office/drawing/2014/chart" uri="{C3380CC4-5D6E-409C-BE32-E72D297353CC}">
              <c16:uniqueId val="{00000008-000A-418B-A546-77055FA17EED}"/>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851664876103456"/>
          <c:y val="0.35736967399123271"/>
          <c:w val="0.28392456687492829"/>
          <c:h val="0.43824194516312359"/>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Wearable Technologies Excel.xlsm]Survery Graphs!PivotTable7</c:name>
    <c:fmtId val="1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ZA"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rPr>
              <a:t>Question 10 Answers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'Survery Graphs'!$E$44</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CD06-4C30-9623-C6746A7A933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CD06-4C30-9623-C6746A7A933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CD06-4C30-9623-C6746A7A933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CD06-4C30-9623-C6746A7A933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'Survery Graphs'!$D$45:$D$49</c:f>
              <c:strCache>
                <c:ptCount val="4"/>
                <c:pt idx="0">
                  <c:v>Agree</c:v>
                </c:pt>
                <c:pt idx="1">
                  <c:v>Disagree</c:v>
                </c:pt>
                <c:pt idx="2">
                  <c:v>Neutral</c:v>
                </c:pt>
                <c:pt idx="3">
                  <c:v>Strongly agree</c:v>
                </c:pt>
              </c:strCache>
            </c:strRef>
          </c:cat>
          <c:val>
            <c:numRef>
              <c:f>'Survery Graphs'!$E$45:$E$49</c:f>
              <c:numCache>
                <c:formatCode>General</c:formatCode>
                <c:ptCount val="4"/>
                <c:pt idx="0">
                  <c:v>4</c:v>
                </c:pt>
                <c:pt idx="1">
                  <c:v>1</c:v>
                </c:pt>
                <c:pt idx="2">
                  <c:v>3</c:v>
                </c:pt>
                <c:pt idx="3">
                  <c:v>6</c:v>
                </c:pt>
              </c:numCache>
            </c:numRef>
          </c:val>
          <c:extLst>
            <c:ext xmlns:c16="http://schemas.microsoft.com/office/drawing/2014/chart" uri="{C3380CC4-5D6E-409C-BE32-E72D297353CC}">
              <c16:uniqueId val="{00000008-E7B9-408B-8A0B-57BC44A5B378}"/>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7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Wearable Technologies Excel.xlsm]Survery Graphs!PivotTable12</c:name>
    <c:fmtId val="1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ZA"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rPr>
              <a:t>Question 11 Answers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'Survery Graphs'!$H$44</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24E-4B71-998F-44046997BB6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24E-4B71-998F-44046997BB6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'Survery Graphs'!$G$45:$G$47</c:f>
              <c:strCache>
                <c:ptCount val="2"/>
                <c:pt idx="0">
                  <c:v>No</c:v>
                </c:pt>
                <c:pt idx="1">
                  <c:v>Yes</c:v>
                </c:pt>
              </c:strCache>
            </c:strRef>
          </c:cat>
          <c:val>
            <c:numRef>
              <c:f>'Survery Graphs'!$H$45:$H$47</c:f>
              <c:numCache>
                <c:formatCode>General</c:formatCode>
                <c:ptCount val="2"/>
                <c:pt idx="0">
                  <c:v>8</c:v>
                </c:pt>
                <c:pt idx="1">
                  <c:v>6</c:v>
                </c:pt>
              </c:numCache>
            </c:numRef>
          </c:val>
          <c:extLst>
            <c:ext xmlns:c16="http://schemas.microsoft.com/office/drawing/2014/chart" uri="{C3380CC4-5D6E-409C-BE32-E72D297353CC}">
              <c16:uniqueId val="{0000000A-12F9-42EA-ACCA-AAB621A3DB86}"/>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7919270833333334"/>
          <c:y val="0.44851399105511108"/>
          <c:w val="0.26613028405857092"/>
          <c:h val="0.256652594904666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Wearable Technologies Excel.xlsm]Survery Graphs!PivotTable13</c:name>
    <c:fmtId val="1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r>
              <a:rPr lang="en-ZA"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rPr>
              <a:t>Question 13 Answers</a:t>
            </a:r>
            <a:endParaRPr lang="en-US"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en-US"/>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'Survery Graphs'!$K$44</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6A6-46E8-A053-EB5AD0DB01B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6A6-46E8-A053-EB5AD0DB01B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E6A6-46E8-A053-EB5AD0DB01B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E6A6-46E8-A053-EB5AD0DB01B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E6A6-46E8-A053-EB5AD0DB01B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'Survery Graphs'!$J$45:$J$50</c:f>
              <c:strCache>
                <c:ptCount val="5"/>
                <c:pt idx="0">
                  <c:v>Few times a day</c:v>
                </c:pt>
                <c:pt idx="1">
                  <c:v>Few times a week</c:v>
                </c:pt>
                <c:pt idx="2">
                  <c:v>Once a day</c:v>
                </c:pt>
                <c:pt idx="3">
                  <c:v>Once a week</c:v>
                </c:pt>
                <c:pt idx="4">
                  <c:v>Week+</c:v>
                </c:pt>
              </c:strCache>
            </c:strRef>
          </c:cat>
          <c:val>
            <c:numRef>
              <c:f>'Survery Graphs'!$K$45:$K$50</c:f>
              <c:numCache>
                <c:formatCode>General</c:formatCode>
                <c:ptCount val="5"/>
                <c:pt idx="0">
                  <c:v>1</c:v>
                </c:pt>
                <c:pt idx="1">
                  <c:v>6</c:v>
                </c:pt>
                <c:pt idx="2">
                  <c:v>5</c:v>
                </c:pt>
                <c:pt idx="3">
                  <c:v>1</c:v>
                </c:pt>
                <c:pt idx="4">
                  <c:v>1</c:v>
                </c:pt>
              </c:numCache>
            </c:numRef>
          </c:val>
          <c:extLst>
            <c:ext xmlns:c16="http://schemas.microsoft.com/office/drawing/2014/chart" uri="{C3380CC4-5D6E-409C-BE32-E72D297353CC}">
              <c16:uniqueId val="{00000008-3A65-4832-880F-AEFFCB33354A}"/>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7884153255588964"/>
          <c:y val="0.38816159074544432"/>
          <c:w val="0.29052310884640536"/>
          <c:h val="0.4365892430460285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Wearable Technologies Excel.xlsm]Survery Graphs!PivotTable14</c:name>
    <c:fmtId val="1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r>
              <a:rPr lang="en-ZA"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rPr>
              <a:t>Question 14 Answers</a:t>
            </a:r>
            <a:endParaRPr lang="en-US"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en-US"/>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'Survery Graphs'!$B$66</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032-4B0C-965A-65BA87E0ABE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032-4B0C-965A-65BA87E0ABE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7032-4B0C-965A-65BA87E0ABE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'Survery Graphs'!$A$67:$A$70</c:f>
              <c:strCache>
                <c:ptCount val="3"/>
                <c:pt idx="0">
                  <c:v>Neither reliable nor unreliable</c:v>
                </c:pt>
                <c:pt idx="1">
                  <c:v>Somewhat reliable</c:v>
                </c:pt>
                <c:pt idx="2">
                  <c:v>Very reliable</c:v>
                </c:pt>
              </c:strCache>
            </c:strRef>
          </c:cat>
          <c:val>
            <c:numRef>
              <c:f>'Survery Graphs'!$B$67:$B$70</c:f>
              <c:numCache>
                <c:formatCode>General</c:formatCode>
                <c:ptCount val="3"/>
                <c:pt idx="0">
                  <c:v>5</c:v>
                </c:pt>
                <c:pt idx="1">
                  <c:v>7</c:v>
                </c:pt>
                <c:pt idx="2">
                  <c:v>2</c:v>
                </c:pt>
              </c:numCache>
            </c:numRef>
          </c:val>
          <c:extLst>
            <c:ext xmlns:c16="http://schemas.microsoft.com/office/drawing/2014/chart" uri="{C3380CC4-5D6E-409C-BE32-E72D297353CC}">
              <c16:uniqueId val="{00000004-A2B3-49F2-B172-4EE1028CD2A8}"/>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7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 Wearable Technologies Excel.xlsm]Survery Graphs!PivotTable1</c:name>
    <c:fmtId val="1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ZA"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rPr>
              <a:t>Question 4 Answers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'Survery Graphs'!$K$1</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cat>
            <c:strRef>
              <c:f>'Survery Graphs'!$J$2:$J$6</c:f>
              <c:strCache>
                <c:ptCount val="4"/>
                <c:pt idx="0">
                  <c:v>Agree</c:v>
                </c:pt>
                <c:pt idx="1">
                  <c:v>Disagree</c:v>
                </c:pt>
                <c:pt idx="2">
                  <c:v>Neutral</c:v>
                </c:pt>
                <c:pt idx="3">
                  <c:v>Strongly agree</c:v>
                </c:pt>
              </c:strCache>
            </c:strRef>
          </c:cat>
          <c:val>
            <c:numRef>
              <c:f>'Survery Graphs'!$K$2:$K$6</c:f>
              <c:numCache>
                <c:formatCode>General</c:formatCode>
                <c:ptCount val="4"/>
                <c:pt idx="0">
                  <c:v>3</c:v>
                </c:pt>
                <c:pt idx="1">
                  <c:v>2</c:v>
                </c:pt>
                <c:pt idx="2">
                  <c:v>5</c:v>
                </c:pt>
                <c:pt idx="3">
                  <c:v>4</c:v>
                </c:pt>
              </c:numCache>
            </c:numRef>
          </c:val>
          <c:extLst>
            <c:ext xmlns:c16="http://schemas.microsoft.com/office/drawing/2014/chart" uri="{C3380CC4-5D6E-409C-BE32-E72D297353CC}">
              <c16:uniqueId val="{00000000-B3C1-4DFC-BC5A-AA8172BA5554}"/>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7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1.xml"/><Relationship Id="rId13" Type="http://schemas.openxmlformats.org/officeDocument/2006/relationships/chart" Target="../charts/chart16.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1</xdr:col>
      <xdr:colOff>11430</xdr:colOff>
      <xdr:row>18</xdr:row>
      <xdr:rowOff>12382</xdr:rowOff>
    </xdr:from>
    <xdr:to>
      <xdr:col>7</xdr:col>
      <xdr:colOff>501015</xdr:colOff>
      <xdr:row>33</xdr:row>
      <xdr:rowOff>48577</xdr:rowOff>
    </xdr:to>
    <xdr:graphicFrame macro="">
      <xdr:nvGraphicFramePr>
        <xdr:cNvPr id="2" name="Chart 1">
          <a:extLst>
            <a:ext uri="{FF2B5EF4-FFF2-40B4-BE49-F238E27FC236}">
              <a16:creationId xmlns:a16="http://schemas.microsoft.com/office/drawing/2014/main" id="{A18F14AD-5286-8D80-D1C3-FADFA8C6D7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66114</xdr:colOff>
      <xdr:row>19</xdr:row>
      <xdr:rowOff>104213</xdr:rowOff>
    </xdr:from>
    <xdr:to>
      <xdr:col>3</xdr:col>
      <xdr:colOff>166967</xdr:colOff>
      <xdr:row>34</xdr:row>
      <xdr:rowOff>161812</xdr:rowOff>
    </xdr:to>
    <xdr:graphicFrame macro="">
      <xdr:nvGraphicFramePr>
        <xdr:cNvPr id="2" name="Chart 1">
          <a:extLst>
            <a:ext uri="{FF2B5EF4-FFF2-40B4-BE49-F238E27FC236}">
              <a16:creationId xmlns:a16="http://schemas.microsoft.com/office/drawing/2014/main" id="{5892CFD2-A66F-2476-B6DE-5A9FDB9C32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91440</xdr:colOff>
          <xdr:row>38</xdr:row>
          <xdr:rowOff>152400</xdr:rowOff>
        </xdr:from>
        <xdr:to>
          <xdr:col>6</xdr:col>
          <xdr:colOff>502920</xdr:colOff>
          <xdr:row>41</xdr:row>
          <xdr:rowOff>152400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Number Average to Word Average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106680</xdr:colOff>
          <xdr:row>35</xdr:row>
          <xdr:rowOff>38100</xdr:rowOff>
        </xdr:from>
        <xdr:to>
          <xdr:col>6</xdr:col>
          <xdr:colOff>457200</xdr:colOff>
          <xdr:row>38</xdr:row>
          <xdr:rowOff>60960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Calculate Average</a:t>
              </a:r>
            </a:p>
          </xdr:txBody>
        </xdr:sp>
        <xdr:clientData fPrintsWithSheet="0"/>
      </xdr:twoCellAnchor>
    </mc:Choice>
    <mc:Fallback/>
  </mc:AlternateContent>
  <xdr:twoCellAnchor>
    <xdr:from>
      <xdr:col>2</xdr:col>
      <xdr:colOff>418828</xdr:colOff>
      <xdr:row>42</xdr:row>
      <xdr:rowOff>6531</xdr:rowOff>
    </xdr:from>
    <xdr:to>
      <xdr:col>6</xdr:col>
      <xdr:colOff>13607</xdr:colOff>
      <xdr:row>60</xdr:row>
      <xdr:rowOff>31024</xdr:rowOff>
    </xdr:to>
    <xdr:graphicFrame macro="">
      <xdr:nvGraphicFramePr>
        <xdr:cNvPr id="3" name="Chart 2">
          <a:extLst>
            <a:ext uri="{FF2B5EF4-FFF2-40B4-BE49-F238E27FC236}">
              <a16:creationId xmlns:a16="http://schemas.microsoft.com/office/drawing/2014/main" id="{B46EC7F3-9880-5F39-5E53-DE9DDCB088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19051</xdr:colOff>
      <xdr:row>6</xdr:row>
      <xdr:rowOff>96203</xdr:rowOff>
    </xdr:from>
    <xdr:to>
      <xdr:col>2</xdr:col>
      <xdr:colOff>18691</xdr:colOff>
      <xdr:row>20</xdr:row>
      <xdr:rowOff>84458</xdr:rowOff>
    </xdr:to>
    <xdr:graphicFrame macro="">
      <xdr:nvGraphicFramePr>
        <xdr:cNvPr id="4" name="Chart 3">
          <a:extLst>
            <a:ext uri="{FF2B5EF4-FFF2-40B4-BE49-F238E27FC236}">
              <a16:creationId xmlns:a16="http://schemas.microsoft.com/office/drawing/2014/main" id="{B61F36D1-8C73-0B07-2F81-BEF45B0FAB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9525</xdr:colOff>
      <xdr:row>28</xdr:row>
      <xdr:rowOff>37147</xdr:rowOff>
    </xdr:from>
    <xdr:to>
      <xdr:col>5</xdr:col>
      <xdr:colOff>28575</xdr:colOff>
      <xdr:row>42</xdr:row>
      <xdr:rowOff>27307</xdr:rowOff>
    </xdr:to>
    <xdr:graphicFrame macro="">
      <xdr:nvGraphicFramePr>
        <xdr:cNvPr id="5" name="Chart 4">
          <a:extLst>
            <a:ext uri="{FF2B5EF4-FFF2-40B4-BE49-F238E27FC236}">
              <a16:creationId xmlns:a16="http://schemas.microsoft.com/office/drawing/2014/main" id="{21A961C2-26C9-418C-8BC2-8338C8D2F4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733425</xdr:colOff>
      <xdr:row>6</xdr:row>
      <xdr:rowOff>63817</xdr:rowOff>
    </xdr:from>
    <xdr:to>
      <xdr:col>5</xdr:col>
      <xdr:colOff>9165</xdr:colOff>
      <xdr:row>20</xdr:row>
      <xdr:rowOff>50167</xdr:rowOff>
    </xdr:to>
    <xdr:graphicFrame macro="">
      <xdr:nvGraphicFramePr>
        <xdr:cNvPr id="6" name="Chart 5">
          <a:extLst>
            <a:ext uri="{FF2B5EF4-FFF2-40B4-BE49-F238E27FC236}">
              <a16:creationId xmlns:a16="http://schemas.microsoft.com/office/drawing/2014/main" id="{B843CBFD-48BF-7EDF-B4D5-6505639C76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0</xdr:colOff>
      <xdr:row>6</xdr:row>
      <xdr:rowOff>58102</xdr:rowOff>
    </xdr:from>
    <xdr:to>
      <xdr:col>8</xdr:col>
      <xdr:colOff>22500</xdr:colOff>
      <xdr:row>20</xdr:row>
      <xdr:rowOff>36832</xdr:rowOff>
    </xdr:to>
    <xdr:graphicFrame macro="">
      <xdr:nvGraphicFramePr>
        <xdr:cNvPr id="64" name="Chart 6">
          <a:extLst>
            <a:ext uri="{FF2B5EF4-FFF2-40B4-BE49-F238E27FC236}">
              <a16:creationId xmlns:a16="http://schemas.microsoft.com/office/drawing/2014/main" id="{FF801E56-AA3A-1147-976D-F1697BCAD7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40005</xdr:colOff>
      <xdr:row>27</xdr:row>
      <xdr:rowOff>39052</xdr:rowOff>
    </xdr:from>
    <xdr:to>
      <xdr:col>2</xdr:col>
      <xdr:colOff>62505</xdr:colOff>
      <xdr:row>41</xdr:row>
      <xdr:rowOff>25402</xdr:rowOff>
    </xdr:to>
    <xdr:graphicFrame macro="">
      <xdr:nvGraphicFramePr>
        <xdr:cNvPr id="58" name="Chart 7">
          <a:extLst>
            <a:ext uri="{FF2B5EF4-FFF2-40B4-BE49-F238E27FC236}">
              <a16:creationId xmlns:a16="http://schemas.microsoft.com/office/drawing/2014/main" id="{70CDC79D-7E05-DC12-0DB1-19241398B6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27</xdr:row>
      <xdr:rowOff>170497</xdr:rowOff>
    </xdr:from>
    <xdr:to>
      <xdr:col>8</xdr:col>
      <xdr:colOff>22500</xdr:colOff>
      <xdr:row>41</xdr:row>
      <xdr:rowOff>162562</xdr:rowOff>
    </xdr:to>
    <xdr:graphicFrame macro="">
      <xdr:nvGraphicFramePr>
        <xdr:cNvPr id="54" name="Chart 8">
          <a:extLst>
            <a:ext uri="{FF2B5EF4-FFF2-40B4-BE49-F238E27FC236}">
              <a16:creationId xmlns:a16="http://schemas.microsoft.com/office/drawing/2014/main" id="{C4A7CE3F-85F4-87B5-0E4F-838A0AD902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8572</xdr:colOff>
      <xdr:row>28</xdr:row>
      <xdr:rowOff>5238</xdr:rowOff>
    </xdr:from>
    <xdr:to>
      <xdr:col>11</xdr:col>
      <xdr:colOff>26309</xdr:colOff>
      <xdr:row>41</xdr:row>
      <xdr:rowOff>173992</xdr:rowOff>
    </xdr:to>
    <xdr:graphicFrame macro="">
      <xdr:nvGraphicFramePr>
        <xdr:cNvPr id="51" name="Chart 9">
          <a:extLst>
            <a:ext uri="{FF2B5EF4-FFF2-40B4-BE49-F238E27FC236}">
              <a16:creationId xmlns:a16="http://schemas.microsoft.com/office/drawing/2014/main" id="{6236DA2F-E568-122D-23F9-679BB09635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7620</xdr:colOff>
      <xdr:row>50</xdr:row>
      <xdr:rowOff>10001</xdr:rowOff>
    </xdr:from>
    <xdr:to>
      <xdr:col>2</xdr:col>
      <xdr:colOff>0</xdr:colOff>
      <xdr:row>63</xdr:row>
      <xdr:rowOff>173040</xdr:rowOff>
    </xdr:to>
    <xdr:graphicFrame macro="">
      <xdr:nvGraphicFramePr>
        <xdr:cNvPr id="48" name="Chart 10">
          <a:extLst>
            <a:ext uri="{FF2B5EF4-FFF2-40B4-BE49-F238E27FC236}">
              <a16:creationId xmlns:a16="http://schemas.microsoft.com/office/drawing/2014/main" id="{B7E83F03-81A2-A698-9A75-3D67AB1927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0</xdr:colOff>
      <xdr:row>50</xdr:row>
      <xdr:rowOff>172402</xdr:rowOff>
    </xdr:from>
    <xdr:to>
      <xdr:col>5</xdr:col>
      <xdr:colOff>7260</xdr:colOff>
      <xdr:row>64</xdr:row>
      <xdr:rowOff>158752</xdr:rowOff>
    </xdr:to>
    <xdr:graphicFrame macro="">
      <xdr:nvGraphicFramePr>
        <xdr:cNvPr id="45" name="Chart 11">
          <a:extLst>
            <a:ext uri="{FF2B5EF4-FFF2-40B4-BE49-F238E27FC236}">
              <a16:creationId xmlns:a16="http://schemas.microsoft.com/office/drawing/2014/main" id="{09D3DB8F-6032-1CD3-8250-EB786FF8E7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0</xdr:colOff>
      <xdr:row>51</xdr:row>
      <xdr:rowOff>18097</xdr:rowOff>
    </xdr:from>
    <xdr:to>
      <xdr:col>8</xdr:col>
      <xdr:colOff>41550</xdr:colOff>
      <xdr:row>64</xdr:row>
      <xdr:rowOff>179707</xdr:rowOff>
    </xdr:to>
    <xdr:graphicFrame macro="">
      <xdr:nvGraphicFramePr>
        <xdr:cNvPr id="42" name="Chart 12">
          <a:extLst>
            <a:ext uri="{FF2B5EF4-FFF2-40B4-BE49-F238E27FC236}">
              <a16:creationId xmlns:a16="http://schemas.microsoft.com/office/drawing/2014/main" id="{E013436C-2FDD-4B72-8B1C-AD01399749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29527</xdr:colOff>
      <xdr:row>51</xdr:row>
      <xdr:rowOff>16192</xdr:rowOff>
    </xdr:from>
    <xdr:to>
      <xdr:col>11</xdr:col>
      <xdr:colOff>53932</xdr:colOff>
      <xdr:row>65</xdr:row>
      <xdr:rowOff>8257</xdr:rowOff>
    </xdr:to>
    <xdr:graphicFrame macro="">
      <xdr:nvGraphicFramePr>
        <xdr:cNvPr id="39" name="Chart 13">
          <a:extLst>
            <a:ext uri="{FF2B5EF4-FFF2-40B4-BE49-F238E27FC236}">
              <a16:creationId xmlns:a16="http://schemas.microsoft.com/office/drawing/2014/main" id="{42408AC1-F948-8A9B-9057-2469DFF084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71</xdr:row>
      <xdr:rowOff>15715</xdr:rowOff>
    </xdr:from>
    <xdr:to>
      <xdr:col>1</xdr:col>
      <xdr:colOff>1416844</xdr:colOff>
      <xdr:row>85</xdr:row>
      <xdr:rowOff>5875</xdr:rowOff>
    </xdr:to>
    <xdr:graphicFrame macro="">
      <xdr:nvGraphicFramePr>
        <xdr:cNvPr id="37" name="Chart 14">
          <a:extLst>
            <a:ext uri="{FF2B5EF4-FFF2-40B4-BE49-F238E27FC236}">
              <a16:creationId xmlns:a16="http://schemas.microsoft.com/office/drawing/2014/main" id="{480FC48C-CC86-550A-A826-5889B60EEE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7857</xdr:colOff>
      <xdr:row>6</xdr:row>
      <xdr:rowOff>15953</xdr:rowOff>
    </xdr:from>
    <xdr:to>
      <xdr:col>11</xdr:col>
      <xdr:colOff>-1</xdr:colOff>
      <xdr:row>20</xdr:row>
      <xdr:rowOff>15716</xdr:rowOff>
    </xdr:to>
    <xdr:graphicFrame macro="">
      <xdr:nvGraphicFramePr>
        <xdr:cNvPr id="2" name="Chart 1">
          <a:extLst>
            <a:ext uri="{FF2B5EF4-FFF2-40B4-BE49-F238E27FC236}">
              <a16:creationId xmlns:a16="http://schemas.microsoft.com/office/drawing/2014/main" id="{C61B12E2-3239-689E-BEF9-05FEDE1D24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Damian Nell" id="{29E4A44A-AB11-48A7-82C5-EEC5D423C88E}" userId="2b49ceb5705f10b4"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mian Nell" refreshedDate="45824.496556597223" createdVersion="8" refreshedVersion="8" minRefreshableVersion="3" recordCount="14" xr:uid="{D556E872-CE7B-4069-BD7C-14AF1515805B}">
  <cacheSource type="worksheet">
    <worksheetSource name="Table1"/>
  </cacheSource>
  <cacheFields count="20">
    <cacheField name="ID" numFmtId="0">
      <sharedItems containsSemiMixedTypes="0" containsString="0" containsNumber="1" containsInteger="1" minValue="1" maxValue="14"/>
    </cacheField>
    <cacheField name="Start time" numFmtId="164">
      <sharedItems containsSemiMixedTypes="0" containsNonDate="0" containsDate="1" containsString="0" minDate="2025-04-15T23:11:33" maxDate="2025-04-16T11:02:14"/>
    </cacheField>
    <cacheField name="Completion time" numFmtId="164">
      <sharedItems containsSemiMixedTypes="0" containsNonDate="0" containsDate="1" containsString="0" minDate="2025-04-15T23:12:50" maxDate="2025-04-16T11:03:06"/>
    </cacheField>
    <cacheField name="Email" numFmtId="0">
      <sharedItems count="1">
        <s v="anonymous"/>
      </sharedItems>
    </cacheField>
    <cacheField name="Name" numFmtId="0">
      <sharedItems containsNonDate="0" containsString="0" containsBlank="1"/>
    </cacheField>
    <cacheField name="Last modified time" numFmtId="164">
      <sharedItems containsNonDate="0" containsString="0" containsBlank="1"/>
    </cacheField>
    <cacheField name="Question 1" numFmtId="0">
      <sharedItems count="4">
        <s v="Agree"/>
        <s v="Neutral"/>
        <s v="Strongly agree"/>
        <s v="Disagree"/>
      </sharedItems>
    </cacheField>
    <cacheField name="Question 2" numFmtId="0">
      <sharedItems count="4">
        <s v="Neutral"/>
        <s v="Agree"/>
        <s v="Strongly agree"/>
        <s v="Disagree"/>
      </sharedItems>
    </cacheField>
    <cacheField name="Question 3" numFmtId="0">
      <sharedItems count="4">
        <s v="Agree"/>
        <s v="Neutral"/>
        <s v="Disagree"/>
        <s v="Strongly agree"/>
      </sharedItems>
    </cacheField>
    <cacheField name="Question 4" numFmtId="0">
      <sharedItems count="4">
        <s v="Neutral"/>
        <s v="Agree"/>
        <s v="Strongly agree"/>
        <s v="Disagree"/>
      </sharedItems>
    </cacheField>
    <cacheField name="Question 5" numFmtId="0">
      <sharedItems count="4">
        <s v="Disagree"/>
        <s v="Neutral"/>
        <s v="Strongly agree"/>
        <s v="Agree"/>
      </sharedItems>
    </cacheField>
    <cacheField name="Question 6" numFmtId="0">
      <sharedItems count="5">
        <s v="Agree"/>
        <s v="Neutral"/>
        <s v="Strongly agree"/>
        <s v="Strongly disagree"/>
        <s v="Disagree"/>
      </sharedItems>
    </cacheField>
    <cacheField name="Question 7" numFmtId="0">
      <sharedItems count="4">
        <s v="Agree"/>
        <s v="Neutral"/>
        <s v="Disagree"/>
        <s v="Strongly agree"/>
      </sharedItems>
    </cacheField>
    <cacheField name="Question 8" numFmtId="0">
      <sharedItems count="4">
        <s v="Neutral"/>
        <s v="Agree"/>
        <s v="Strongly agree"/>
        <s v="Disagree"/>
      </sharedItems>
    </cacheField>
    <cacheField name="Question 9" numFmtId="0">
      <sharedItems count="5">
        <s v="Neutral"/>
        <s v="Agree"/>
        <s v="Strongly agree"/>
        <s v="Strongly disagree"/>
        <s v="Disagree"/>
      </sharedItems>
    </cacheField>
    <cacheField name="Question 10" numFmtId="0">
      <sharedItems count="4">
        <s v="Agree"/>
        <s v="Neutral"/>
        <s v="Strongly agree"/>
        <s v="Disagree"/>
      </sharedItems>
    </cacheField>
    <cacheField name="Question 11" numFmtId="0">
      <sharedItems count="2">
        <s v="No"/>
        <s v="Yes"/>
      </sharedItems>
    </cacheField>
    <cacheField name="Question 12" numFmtId="0">
      <sharedItems count="14">
        <s v="Doesn't really effect me"/>
        <s v="Idk"/>
        <s v="Doesn't really matter, I use any smart wearable technology available "/>
        <s v="Idk 🤷‍♂️ "/>
        <s v="because I don't care "/>
        <s v="Data privacy concerns. "/>
        <s v="Privacy is important to me because wearable devices collect sensitive health data. I want to make sure my information is stored securely and not shared without my consent. It influences which brand and model I choose."/>
        <s v="I’m cautious about data collection because I’m not totally sure how my health info is being used or who has access to it. That makes me hesitant to fully trust or rely on these devices."/>
        <s v="I take data privacy seriously, especially with all the personal metrics these devices collect. I only buy wearables from companies with a strong privacy policy and clear transparency on how data is stored or shared."/>
        <s v="I don’t fully understand where my data goes, so I’m a bit wary. I chose a device that came recommended for privacy and ease of use. I don’t want my health information floating around without my knowledge."/>
        <s v="Honestly, I don’t really think much about data privacy. I use the wearable because it’s helpful and keeps me on track. As long as it works and doesn’t cause problems, I’m not too concerned about what happens with the data."/>
        <s v="I’m more into tech than worried about privacy. I like exploring new features and updates. If the device is cool and useful, I’ll use it — I figure data collection is just part of the package these days."/>
        <s v="I prefer devices with strong data encryption and transparent privacy policies, as health data is sensitive."/>
        <s v="I prioritize functionality and accuracy over privacy concerns, as long as basic security measures are in place"/>
      </sharedItems>
    </cacheField>
    <cacheField name="Question 13" numFmtId="0">
      <sharedItems count="5">
        <s v="Few times a week"/>
        <s v="Week+"/>
        <s v="Once a day"/>
        <s v="Once a week"/>
        <s v="Few times a day"/>
      </sharedItems>
    </cacheField>
    <cacheField name="Question 14" numFmtId="0">
      <sharedItems count="3">
        <s v="Neither reliable nor unreliable"/>
        <s v="Somewhat reliable"/>
        <s v="Very reliable"/>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mian Nell" refreshedDate="45824.636621180558" createdVersion="8" refreshedVersion="8" minRefreshableVersion="3" recordCount="12" xr:uid="{F35048BB-9682-4FA5-A666-F6D3EBB5B175}">
  <cacheSource type="worksheet">
    <worksheetSource ref="A1:H13" sheet="Best wearable"/>
  </cacheSource>
  <cacheFields count="8">
    <cacheField name="Brand" numFmtId="0">
      <sharedItems containsBlank="1"/>
    </cacheField>
    <cacheField name="Device Name" numFmtId="0">
      <sharedItems/>
    </cacheField>
    <cacheField name="Price Range" numFmtId="0">
      <sharedItems/>
    </cacheField>
    <cacheField name="Health &amp; fitness features" numFmtId="0">
      <sharedItems/>
    </cacheField>
    <cacheField name="smart features" numFmtId="0">
      <sharedItems/>
    </cacheField>
    <cacheField name="Water and dust rating" numFmtId="0">
      <sharedItems/>
    </cacheField>
    <cacheField name="Accuracy Rating (1-5)" numFmtId="0">
      <sharedItems count="4">
        <s v="5 ★"/>
        <s v="4 ★"/>
        <s v="3 ★"/>
        <s v="2 ★"/>
      </sharedItems>
    </cacheField>
    <cacheField name="Brand Average Rating"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n v="1"/>
    <d v="2025-04-15T23:11:33"/>
    <d v="2025-04-15T23:12:50"/>
    <x v="0"/>
    <m/>
    <m/>
    <x v="0"/>
    <x v="0"/>
    <x v="0"/>
    <x v="0"/>
    <x v="0"/>
    <x v="0"/>
    <x v="0"/>
    <x v="0"/>
    <x v="0"/>
    <x v="0"/>
    <x v="0"/>
    <x v="0"/>
    <x v="0"/>
    <x v="0"/>
  </r>
  <r>
    <n v="2"/>
    <d v="2025-04-15T23:14:12"/>
    <d v="2025-04-15T23:16:37"/>
    <x v="0"/>
    <m/>
    <m/>
    <x v="1"/>
    <x v="0"/>
    <x v="1"/>
    <x v="0"/>
    <x v="1"/>
    <x v="1"/>
    <x v="1"/>
    <x v="0"/>
    <x v="0"/>
    <x v="1"/>
    <x v="0"/>
    <x v="1"/>
    <x v="1"/>
    <x v="0"/>
  </r>
  <r>
    <n v="3"/>
    <d v="2025-04-16T01:49:47"/>
    <d v="2025-04-16T01:52:04"/>
    <x v="0"/>
    <m/>
    <m/>
    <x v="1"/>
    <x v="0"/>
    <x v="1"/>
    <x v="0"/>
    <x v="0"/>
    <x v="1"/>
    <x v="2"/>
    <x v="0"/>
    <x v="0"/>
    <x v="0"/>
    <x v="0"/>
    <x v="2"/>
    <x v="2"/>
    <x v="1"/>
  </r>
  <r>
    <n v="4"/>
    <d v="2025-04-16T09:10:17"/>
    <d v="2025-04-16T09:12:41"/>
    <x v="0"/>
    <m/>
    <m/>
    <x v="1"/>
    <x v="1"/>
    <x v="2"/>
    <x v="1"/>
    <x v="2"/>
    <x v="0"/>
    <x v="0"/>
    <x v="1"/>
    <x v="1"/>
    <x v="2"/>
    <x v="0"/>
    <x v="3"/>
    <x v="0"/>
    <x v="1"/>
  </r>
  <r>
    <n v="5"/>
    <d v="2025-04-16T09:39:17"/>
    <d v="2025-04-16T09:47:42"/>
    <x v="0"/>
    <m/>
    <m/>
    <x v="2"/>
    <x v="2"/>
    <x v="2"/>
    <x v="2"/>
    <x v="2"/>
    <x v="2"/>
    <x v="0"/>
    <x v="2"/>
    <x v="2"/>
    <x v="2"/>
    <x v="0"/>
    <x v="4"/>
    <x v="2"/>
    <x v="1"/>
  </r>
  <r>
    <n v="6"/>
    <d v="2025-04-16T10:16:43"/>
    <d v="2025-04-16T10:17:59"/>
    <x v="0"/>
    <m/>
    <m/>
    <x v="2"/>
    <x v="2"/>
    <x v="1"/>
    <x v="2"/>
    <x v="2"/>
    <x v="2"/>
    <x v="3"/>
    <x v="2"/>
    <x v="2"/>
    <x v="2"/>
    <x v="1"/>
    <x v="5"/>
    <x v="0"/>
    <x v="1"/>
  </r>
  <r>
    <n v="7"/>
    <d v="2025-04-16T10:44:13"/>
    <d v="2025-04-16T10:44:57"/>
    <x v="0"/>
    <m/>
    <m/>
    <x v="2"/>
    <x v="1"/>
    <x v="3"/>
    <x v="1"/>
    <x v="3"/>
    <x v="0"/>
    <x v="3"/>
    <x v="1"/>
    <x v="0"/>
    <x v="2"/>
    <x v="1"/>
    <x v="6"/>
    <x v="0"/>
    <x v="1"/>
  </r>
  <r>
    <n v="8"/>
    <d v="2025-04-16T10:44:59"/>
    <d v="2025-04-16T10:46:32"/>
    <x v="0"/>
    <m/>
    <m/>
    <x v="3"/>
    <x v="3"/>
    <x v="1"/>
    <x v="3"/>
    <x v="0"/>
    <x v="3"/>
    <x v="2"/>
    <x v="3"/>
    <x v="3"/>
    <x v="3"/>
    <x v="1"/>
    <x v="7"/>
    <x v="2"/>
    <x v="0"/>
  </r>
  <r>
    <n v="9"/>
    <d v="2025-04-16T10:46:34"/>
    <d v="2025-04-16T10:47:25"/>
    <x v="0"/>
    <m/>
    <m/>
    <x v="2"/>
    <x v="2"/>
    <x v="3"/>
    <x v="2"/>
    <x v="2"/>
    <x v="2"/>
    <x v="3"/>
    <x v="2"/>
    <x v="1"/>
    <x v="2"/>
    <x v="1"/>
    <x v="8"/>
    <x v="2"/>
    <x v="2"/>
  </r>
  <r>
    <n v="10"/>
    <d v="2025-04-16T10:47:27"/>
    <d v="2025-04-16T10:49:41"/>
    <x v="0"/>
    <m/>
    <m/>
    <x v="1"/>
    <x v="3"/>
    <x v="0"/>
    <x v="0"/>
    <x v="0"/>
    <x v="4"/>
    <x v="1"/>
    <x v="3"/>
    <x v="0"/>
    <x v="1"/>
    <x v="1"/>
    <x v="9"/>
    <x v="3"/>
    <x v="0"/>
  </r>
  <r>
    <n v="11"/>
    <d v="2025-04-16T10:49:42"/>
    <d v="2025-04-16T10:50:28"/>
    <x v="0"/>
    <m/>
    <m/>
    <x v="0"/>
    <x v="1"/>
    <x v="1"/>
    <x v="0"/>
    <x v="3"/>
    <x v="1"/>
    <x v="0"/>
    <x v="0"/>
    <x v="4"/>
    <x v="0"/>
    <x v="0"/>
    <x v="10"/>
    <x v="0"/>
    <x v="1"/>
  </r>
  <r>
    <n v="12"/>
    <d v="2025-04-16T10:52:31"/>
    <d v="2025-04-16T10:54:15"/>
    <x v="0"/>
    <m/>
    <m/>
    <x v="1"/>
    <x v="3"/>
    <x v="1"/>
    <x v="3"/>
    <x v="0"/>
    <x v="4"/>
    <x v="0"/>
    <x v="3"/>
    <x v="4"/>
    <x v="1"/>
    <x v="0"/>
    <x v="11"/>
    <x v="4"/>
    <x v="0"/>
  </r>
  <r>
    <n v="13"/>
    <d v="2025-04-16T10:56:44"/>
    <d v="2025-04-16T10:59:21"/>
    <x v="0"/>
    <m/>
    <m/>
    <x v="0"/>
    <x v="1"/>
    <x v="3"/>
    <x v="1"/>
    <x v="3"/>
    <x v="0"/>
    <x v="3"/>
    <x v="1"/>
    <x v="0"/>
    <x v="0"/>
    <x v="1"/>
    <x v="12"/>
    <x v="0"/>
    <x v="1"/>
  </r>
  <r>
    <n v="14"/>
    <d v="2025-04-16T11:02:14"/>
    <d v="2025-04-16T11:03:06"/>
    <x v="0"/>
    <m/>
    <m/>
    <x v="2"/>
    <x v="2"/>
    <x v="0"/>
    <x v="2"/>
    <x v="3"/>
    <x v="2"/>
    <x v="3"/>
    <x v="1"/>
    <x v="0"/>
    <x v="2"/>
    <x v="0"/>
    <x v="13"/>
    <x v="2"/>
    <x v="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s v="Apple"/>
    <s v="Apple watch Ultra 2"/>
    <s v="R15000 - R18000"/>
    <s v="ECG, Blood oxygen, heart rate monitor, Skin tempreture, GPS, Advanced workout metrics, Sleep tracking"/>
    <s v="LTE, Siri, Calls, Texts, App store, Apple pay"/>
    <s v="WR100, IP6X"/>
    <x v="0"/>
    <s v="4 ★"/>
  </r>
  <r>
    <m/>
    <s v="Apple watch series 9"/>
    <s v="R9000 - R11000"/>
    <s v="ECG, Blood oxygen, heart rate monitor, Skin tempreture, workout metrics, Sleep tracking"/>
    <s v="LTE, Siri, Texts, Apple pay"/>
    <s v="WR50, IP6X"/>
    <x v="1"/>
    <m/>
  </r>
  <r>
    <m/>
    <s v="Apple Watch SE (2nd gen)"/>
    <s v="R5000 - R6000"/>
    <s v="Heart rate monitor, Sleep tracking, Fall detection, basic fitness tracking"/>
    <s v="Notifications, Siri, Apple pay"/>
    <s v="WR50"/>
    <x v="2"/>
    <m/>
  </r>
  <r>
    <s v="Samsung"/>
    <s v="Galaxy watch 6 classic"/>
    <s v="R10000 - R13000"/>
    <s v="ECG, Heart Rate monitor, body composition (BIA), Sleep coaching, GPS"/>
    <s v="Calls, Texts, Bixby, Samsung pay, Google Apps"/>
    <s v="5ATM + IP68, MIL-STD-810h"/>
    <x v="1"/>
    <s v="3 ★"/>
  </r>
  <r>
    <m/>
    <s v="Galaxy watch 5"/>
    <s v="R6000 - R8000"/>
    <s v="Heart rate monitor, Blood oxygen, Sleep tracking, Fitness tracking"/>
    <s v="smart notifications, voice assisstant"/>
    <s v="5ATM + IP68"/>
    <x v="1"/>
    <m/>
  </r>
  <r>
    <m/>
    <s v="Galaxy fit 3 (2024)"/>
    <s v="R2000 - R2500"/>
    <s v="Heart rate monitor, sleep tracking, step count, workout tracking"/>
    <s v="basic notifications"/>
    <s v="5ATM"/>
    <x v="3"/>
    <m/>
  </r>
  <r>
    <s v="Fitbit"/>
    <s v="Fitbit Sense 2"/>
    <s v="R6500 - R7500"/>
    <s v="Heart Rate monitor, ECG, EDA, SpO2, sleep, GPS, tempreture sensor"/>
    <s v="Notifications, Alexa, Google wallet"/>
    <s v="WR50"/>
    <x v="1"/>
    <s v="3 ★"/>
  </r>
  <r>
    <m/>
    <s v="Fitbit Charge 6"/>
    <s v="R3000 - R4000"/>
    <s v="heart Rate monitor, SpO2, ECG, exercise tracking, sleep, stress management"/>
    <s v="google wallet, youtube music"/>
    <s v="WR50"/>
    <x v="2"/>
    <m/>
  </r>
  <r>
    <m/>
    <s v="Fitbit inspire 3"/>
    <s v="R1500 - R2200"/>
    <s v="Heart Rate monitor, sleep tracking, stress management, steps"/>
    <s v="basic notifications"/>
    <s v="WR50"/>
    <x v="3"/>
    <m/>
  </r>
  <r>
    <s v="Garmin"/>
    <s v="Garmin Fenix 7 pro"/>
    <s v="R15000 - R18000"/>
    <s v="Multi-band GPS, heart rate, pulse ox, VO2 max, stress &amp; sleep, hiking &amp; outdoor tracking"/>
    <s v="limited smart features, music storage, garmin pay"/>
    <s v="10ATM, MIL-STD-810"/>
    <x v="0"/>
    <s v="4 ★"/>
  </r>
  <r>
    <m/>
    <s v="Garmin Venu 3"/>
    <s v="R7500 - R9000"/>
    <s v="heart rate monitor, pulse ox, sleep score, stress, women's health, workouts"/>
    <s v="voice calling, notifications, music controlls"/>
    <s v="5ATM"/>
    <x v="1"/>
    <m/>
  </r>
  <r>
    <m/>
    <s v="Garmin Forerunner 55"/>
    <s v="R3500 - R4500"/>
    <s v="GPS, heart rate monitor, basic activity &amp; sleep tracking"/>
    <s v="smart notifications"/>
    <s v="5ATM"/>
    <x v="2"/>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194B289-4206-4B33-A4C3-41C2937DFDA0}" name="PivotTable12"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8">
  <location ref="A15:B19" firstHeaderRow="1" firstDataRow="1" firstDataCol="1"/>
  <pivotFields count="8">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
        <item x="3"/>
        <item x="2"/>
        <item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6"/>
  </rowFields>
  <rowItems count="4">
    <i>
      <x/>
    </i>
    <i>
      <x v="1"/>
    </i>
    <i>
      <x v="2"/>
    </i>
    <i>
      <x v="3"/>
    </i>
  </rowItems>
  <colItems count="1">
    <i/>
  </colItems>
  <dataFields count="1">
    <dataField name="Count of Device Accuracy" fld="1" subtotal="count" baseField="0" baseItem="0"/>
  </dataFields>
  <chartFormats count="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4A4D6DE-4070-45D4-897A-C3C49A21BED9}"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J1:K6" firstHeaderRow="1" firstDataRow="1" firstDataCol="1"/>
  <pivotFields count="20">
    <pivotField showAll="0"/>
    <pivotField numFmtId="164" showAll="0"/>
    <pivotField numFmtId="164" showAll="0"/>
    <pivotField showAll="0">
      <items count="2">
        <item x="0"/>
        <item t="default"/>
      </items>
    </pivotField>
    <pivotField showAll="0"/>
    <pivotField showAll="0"/>
    <pivotField showAll="0">
      <items count="5">
        <item x="0"/>
        <item x="3"/>
        <item x="1"/>
        <item x="2"/>
        <item t="default"/>
      </items>
    </pivotField>
    <pivotField showAll="0">
      <items count="5">
        <item x="1"/>
        <item x="3"/>
        <item x="0"/>
        <item x="2"/>
        <item t="default"/>
      </items>
    </pivotField>
    <pivotField showAll="0">
      <items count="5">
        <item x="0"/>
        <item x="2"/>
        <item x="1"/>
        <item x="3"/>
        <item t="default"/>
      </items>
    </pivotField>
    <pivotField axis="axisRow" dataField="1" showAll="0">
      <items count="5">
        <item x="1"/>
        <item x="3"/>
        <item x="0"/>
        <item x="2"/>
        <item t="default"/>
      </items>
    </pivotField>
    <pivotField showAll="0"/>
    <pivotField showAll="0"/>
    <pivotField showAll="0"/>
    <pivotField showAll="0"/>
    <pivotField showAll="0"/>
    <pivotField showAll="0"/>
    <pivotField showAll="0"/>
    <pivotField showAll="0"/>
    <pivotField showAll="0"/>
    <pivotField showAll="0"/>
  </pivotFields>
  <rowFields count="1">
    <field x="9"/>
  </rowFields>
  <rowItems count="5">
    <i>
      <x/>
    </i>
    <i>
      <x v="1"/>
    </i>
    <i>
      <x v="2"/>
    </i>
    <i>
      <x v="3"/>
    </i>
    <i t="grand">
      <x/>
    </i>
  </rowItems>
  <colItems count="1">
    <i/>
  </colItems>
  <dataFields count="1">
    <dataField name="Count of Question 4" fld="9" subtotal="count" baseField="0" baseItem="0"/>
  </dataFields>
  <chartFormats count="1">
    <chartFormat chart="18"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AAF9C0-78AF-49C5-A2C7-AC97F9960DEB}"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G1:H6" firstHeaderRow="1" firstDataRow="1" firstDataCol="1"/>
  <pivotFields count="20">
    <pivotField showAll="0"/>
    <pivotField numFmtId="164" showAll="0"/>
    <pivotField numFmtId="164" showAll="0"/>
    <pivotField showAll="0">
      <items count="2">
        <item x="0"/>
        <item t="default"/>
      </items>
    </pivotField>
    <pivotField showAll="0"/>
    <pivotField showAll="0"/>
    <pivotField showAll="0">
      <items count="5">
        <item x="0"/>
        <item x="3"/>
        <item x="1"/>
        <item x="2"/>
        <item t="default"/>
      </items>
    </pivotField>
    <pivotField showAll="0">
      <items count="5">
        <item x="1"/>
        <item x="3"/>
        <item x="0"/>
        <item x="2"/>
        <item t="default"/>
      </items>
    </pivotField>
    <pivotField axis="axisRow" dataField="1" showAll="0">
      <items count="5">
        <item x="0"/>
        <item x="2"/>
        <item x="1"/>
        <item x="3"/>
        <item t="default"/>
      </items>
    </pivotField>
    <pivotField showAll="0">
      <items count="5">
        <item x="1"/>
        <item x="3"/>
        <item x="0"/>
        <item x="2"/>
        <item t="default"/>
      </items>
    </pivotField>
    <pivotField showAll="0"/>
    <pivotField showAll="0"/>
    <pivotField showAll="0"/>
    <pivotField showAll="0"/>
    <pivotField showAll="0"/>
    <pivotField showAll="0"/>
    <pivotField showAll="0"/>
    <pivotField showAll="0"/>
    <pivotField showAll="0"/>
    <pivotField showAll="0"/>
  </pivotFields>
  <rowFields count="1">
    <field x="8"/>
  </rowFields>
  <rowItems count="5">
    <i>
      <x/>
    </i>
    <i>
      <x v="1"/>
    </i>
    <i>
      <x v="2"/>
    </i>
    <i>
      <x v="3"/>
    </i>
    <i t="grand">
      <x/>
    </i>
  </rowItems>
  <colItems count="1">
    <i/>
  </colItems>
  <dataFields count="1">
    <dataField name="Count of Question 3" fld="8" subtotal="count" baseField="0" baseItem="0"/>
  </dataFields>
  <chartFormats count="5">
    <chartFormat chart="14" format="6" series="1">
      <pivotArea type="data" outline="0" fieldPosition="0">
        <references count="1">
          <reference field="4294967294" count="1" selected="0">
            <x v="0"/>
          </reference>
        </references>
      </pivotArea>
    </chartFormat>
    <chartFormat chart="14" format="7">
      <pivotArea type="data" outline="0" fieldPosition="0">
        <references count="2">
          <reference field="4294967294" count="1" selected="0">
            <x v="0"/>
          </reference>
          <reference field="8" count="1" selected="0">
            <x v="0"/>
          </reference>
        </references>
      </pivotArea>
    </chartFormat>
    <chartFormat chart="14" format="8">
      <pivotArea type="data" outline="0" fieldPosition="0">
        <references count="2">
          <reference field="4294967294" count="1" selected="0">
            <x v="0"/>
          </reference>
          <reference field="8" count="1" selected="0">
            <x v="1"/>
          </reference>
        </references>
      </pivotArea>
    </chartFormat>
    <chartFormat chart="14" format="9">
      <pivotArea type="data" outline="0" fieldPosition="0">
        <references count="2">
          <reference field="4294967294" count="1" selected="0">
            <x v="0"/>
          </reference>
          <reference field="8" count="1" selected="0">
            <x v="2"/>
          </reference>
        </references>
      </pivotArea>
    </chartFormat>
    <chartFormat chart="14" format="10">
      <pivotArea type="data" outline="0" fieldPosition="0">
        <references count="2">
          <reference field="4294967294" count="1" selected="0">
            <x v="0"/>
          </reference>
          <reference field="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DA40DB3-57A9-44E0-B40E-A09CBAEB9C27}"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D44:E49" firstHeaderRow="1" firstDataRow="1" firstDataCol="1"/>
  <pivotFields count="20">
    <pivotField showAll="0"/>
    <pivotField numFmtId="164" showAll="0"/>
    <pivotField numFmtId="164" showAll="0"/>
    <pivotField showAll="0">
      <items count="2">
        <item x="0"/>
        <item t="default"/>
      </items>
    </pivotField>
    <pivotField showAll="0"/>
    <pivotField showAll="0"/>
    <pivotField showAll="0">
      <items count="5">
        <item x="0"/>
        <item x="3"/>
        <item x="1"/>
        <item x="2"/>
        <item t="default"/>
      </items>
    </pivotField>
    <pivotField showAll="0">
      <items count="5">
        <item x="1"/>
        <item x="3"/>
        <item x="0"/>
        <item x="2"/>
        <item t="default"/>
      </items>
    </pivotField>
    <pivotField showAll="0">
      <items count="5">
        <item x="0"/>
        <item x="2"/>
        <item x="1"/>
        <item x="3"/>
        <item t="default"/>
      </items>
    </pivotField>
    <pivotField showAll="0">
      <items count="5">
        <item x="1"/>
        <item x="3"/>
        <item x="0"/>
        <item x="2"/>
        <item t="default"/>
      </items>
    </pivotField>
    <pivotField showAll="0">
      <items count="5">
        <item x="3"/>
        <item x="0"/>
        <item x="1"/>
        <item x="2"/>
        <item t="default"/>
      </items>
    </pivotField>
    <pivotField showAll="0"/>
    <pivotField showAll="0"/>
    <pivotField showAll="0"/>
    <pivotField showAll="0"/>
    <pivotField axis="axisRow" dataField="1" showAll="0">
      <items count="5">
        <item x="0"/>
        <item x="3"/>
        <item x="1"/>
        <item x="2"/>
        <item t="default"/>
      </items>
    </pivotField>
    <pivotField showAll="0"/>
    <pivotField showAll="0"/>
    <pivotField showAll="0"/>
    <pivotField showAll="0"/>
  </pivotFields>
  <rowFields count="1">
    <field x="15"/>
  </rowFields>
  <rowItems count="5">
    <i>
      <x/>
    </i>
    <i>
      <x v="1"/>
    </i>
    <i>
      <x v="2"/>
    </i>
    <i>
      <x v="3"/>
    </i>
    <i t="grand">
      <x/>
    </i>
  </rowItems>
  <colItems count="1">
    <i/>
  </colItems>
  <dataFields count="1">
    <dataField name="Count of Question 10" fld="15" subtotal="count" baseField="0" baseItem="0"/>
  </dataFields>
  <chartFormats count="5">
    <chartFormat chart="14" format="0" series="1">
      <pivotArea type="data" outline="0" fieldPosition="0">
        <references count="1">
          <reference field="4294967294" count="1" selected="0">
            <x v="0"/>
          </reference>
        </references>
      </pivotArea>
    </chartFormat>
    <chartFormat chart="14" format="1">
      <pivotArea type="data" outline="0" fieldPosition="0">
        <references count="2">
          <reference field="4294967294" count="1" selected="0">
            <x v="0"/>
          </reference>
          <reference field="15" count="1" selected="0">
            <x v="0"/>
          </reference>
        </references>
      </pivotArea>
    </chartFormat>
    <chartFormat chart="14" format="2">
      <pivotArea type="data" outline="0" fieldPosition="0">
        <references count="2">
          <reference field="4294967294" count="1" selected="0">
            <x v="0"/>
          </reference>
          <reference field="15" count="1" selected="0">
            <x v="1"/>
          </reference>
        </references>
      </pivotArea>
    </chartFormat>
    <chartFormat chart="14" format="3">
      <pivotArea type="data" outline="0" fieldPosition="0">
        <references count="2">
          <reference field="4294967294" count="1" selected="0">
            <x v="0"/>
          </reference>
          <reference field="15" count="1" selected="0">
            <x v="2"/>
          </reference>
        </references>
      </pivotArea>
    </chartFormat>
    <chartFormat chart="14" format="4">
      <pivotArea type="data" outline="0" fieldPosition="0">
        <references count="2">
          <reference field="4294967294" count="1" selected="0">
            <x v="0"/>
          </reference>
          <reference field="1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05ABD7C-29F9-4ABD-9F78-52129C797E72}"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1:B6" firstHeaderRow="1" firstDataRow="1" firstDataCol="1"/>
  <pivotFields count="20">
    <pivotField showAll="0"/>
    <pivotField numFmtId="164" showAll="0"/>
    <pivotField numFmtId="164" showAll="0"/>
    <pivotField showAll="0">
      <items count="2">
        <item x="0"/>
        <item t="default"/>
      </items>
    </pivotField>
    <pivotField showAll="0"/>
    <pivotField showAll="0"/>
    <pivotField axis="axisRow" dataField="1" showAll="0">
      <items count="5">
        <item x="0"/>
        <item x="3"/>
        <item x="1"/>
        <item x="2"/>
        <item t="default"/>
      </items>
    </pivotField>
    <pivotField showAll="0">
      <items count="5">
        <item x="1"/>
        <item x="3"/>
        <item x="0"/>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5">
    <i>
      <x/>
    </i>
    <i>
      <x v="1"/>
    </i>
    <i>
      <x v="2"/>
    </i>
    <i>
      <x v="3"/>
    </i>
    <i t="grand">
      <x/>
    </i>
  </rowItems>
  <colItems count="1">
    <i/>
  </colItems>
  <dataFields count="1">
    <dataField name="Count of Question 1" fld="6" subtotal="count" baseField="0" baseItem="0"/>
  </dataFields>
  <chartFormats count="5">
    <chartFormat chart="11" format="5" series="1">
      <pivotArea type="data" outline="0" fieldPosition="0">
        <references count="1">
          <reference field="4294967294" count="1" selected="0">
            <x v="0"/>
          </reference>
        </references>
      </pivotArea>
    </chartFormat>
    <chartFormat chart="11" format="6">
      <pivotArea type="data" outline="0" fieldPosition="0">
        <references count="2">
          <reference field="4294967294" count="1" selected="0">
            <x v="0"/>
          </reference>
          <reference field="6" count="1" selected="0">
            <x v="0"/>
          </reference>
        </references>
      </pivotArea>
    </chartFormat>
    <chartFormat chart="11" format="7">
      <pivotArea type="data" outline="0" fieldPosition="0">
        <references count="2">
          <reference field="4294967294" count="1" selected="0">
            <x v="0"/>
          </reference>
          <reference field="6" count="1" selected="0">
            <x v="1"/>
          </reference>
        </references>
      </pivotArea>
    </chartFormat>
    <chartFormat chart="11" format="8">
      <pivotArea type="data" outline="0" fieldPosition="0">
        <references count="2">
          <reference field="4294967294" count="1" selected="0">
            <x v="0"/>
          </reference>
          <reference field="6" count="1" selected="0">
            <x v="2"/>
          </reference>
        </references>
      </pivotArea>
    </chartFormat>
    <chartFormat chart="11" format="9">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4953628-DB7B-40F9-BC94-65DE03264C87}"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D1:E6" firstHeaderRow="1" firstDataRow="1" firstDataCol="1"/>
  <pivotFields count="20">
    <pivotField showAll="0"/>
    <pivotField numFmtId="164" showAll="0"/>
    <pivotField numFmtId="164" showAll="0"/>
    <pivotField showAll="0">
      <items count="2">
        <item x="0"/>
        <item t="default"/>
      </items>
    </pivotField>
    <pivotField showAll="0"/>
    <pivotField showAll="0"/>
    <pivotField showAll="0">
      <items count="5">
        <item x="0"/>
        <item x="3"/>
        <item x="1"/>
        <item x="2"/>
        <item t="default"/>
      </items>
    </pivotField>
    <pivotField axis="axisRow" dataField="1" showAll="0">
      <items count="5">
        <item x="1"/>
        <item x="3"/>
        <item x="0"/>
        <item x="2"/>
        <item t="default"/>
      </items>
    </pivotField>
    <pivotField showAll="0">
      <items count="5">
        <item x="0"/>
        <item x="2"/>
        <item x="1"/>
        <item x="3"/>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7"/>
  </rowFields>
  <rowItems count="5">
    <i>
      <x/>
    </i>
    <i>
      <x v="1"/>
    </i>
    <i>
      <x v="2"/>
    </i>
    <i>
      <x v="3"/>
    </i>
    <i t="grand">
      <x/>
    </i>
  </rowItems>
  <colItems count="1">
    <i/>
  </colItems>
  <dataFields count="1">
    <dataField name="Count of Question 2" fld="7" subtotal="count" baseField="0" baseItem="0"/>
  </dataFields>
  <chartFormats count="5">
    <chartFormat chart="14" format="5" series="1">
      <pivotArea type="data" outline="0" fieldPosition="0">
        <references count="1">
          <reference field="4294967294" count="1" selected="0">
            <x v="0"/>
          </reference>
        </references>
      </pivotArea>
    </chartFormat>
    <chartFormat chart="14" format="6">
      <pivotArea type="data" outline="0" fieldPosition="0">
        <references count="2">
          <reference field="4294967294" count="1" selected="0">
            <x v="0"/>
          </reference>
          <reference field="7" count="1" selected="0">
            <x v="0"/>
          </reference>
        </references>
      </pivotArea>
    </chartFormat>
    <chartFormat chart="14" format="7">
      <pivotArea type="data" outline="0" fieldPosition="0">
        <references count="2">
          <reference field="4294967294" count="1" selected="0">
            <x v="0"/>
          </reference>
          <reference field="7" count="1" selected="0">
            <x v="1"/>
          </reference>
        </references>
      </pivotArea>
    </chartFormat>
    <chartFormat chart="14" format="8">
      <pivotArea type="data" outline="0" fieldPosition="0">
        <references count="2">
          <reference field="4294967294" count="1" selected="0">
            <x v="0"/>
          </reference>
          <reference field="7" count="1" selected="0">
            <x v="2"/>
          </reference>
        </references>
      </pivotArea>
    </chartFormat>
    <chartFormat chart="14" format="9">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2D157AF-E08B-4A02-8644-6B1EE8CDE529}" name="PivotTable1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J44:K50" firstHeaderRow="1" firstDataRow="1" firstDataCol="1"/>
  <pivotFields count="20">
    <pivotField showAll="0"/>
    <pivotField numFmtId="164" showAll="0"/>
    <pivotField numFmtId="164" showAll="0"/>
    <pivotField showAll="0">
      <items count="2">
        <item x="0"/>
        <item t="default"/>
      </items>
    </pivotField>
    <pivotField showAll="0"/>
    <pivotField showAll="0"/>
    <pivotField showAll="0">
      <items count="5">
        <item x="0"/>
        <item x="3"/>
        <item x="1"/>
        <item x="2"/>
        <item t="default"/>
      </items>
    </pivotField>
    <pivotField showAll="0">
      <items count="5">
        <item x="1"/>
        <item x="3"/>
        <item x="0"/>
        <item x="2"/>
        <item t="default"/>
      </items>
    </pivotField>
    <pivotField showAll="0"/>
    <pivotField showAll="0"/>
    <pivotField showAll="0"/>
    <pivotField showAll="0"/>
    <pivotField showAll="0">
      <items count="5">
        <item x="0"/>
        <item x="2"/>
        <item x="1"/>
        <item x="3"/>
        <item t="default"/>
      </items>
    </pivotField>
    <pivotField showAll="0">
      <items count="5">
        <item x="1"/>
        <item x="3"/>
        <item x="0"/>
        <item x="2"/>
        <item t="default"/>
      </items>
    </pivotField>
    <pivotField showAll="0"/>
    <pivotField showAll="0"/>
    <pivotField showAll="0">
      <items count="3">
        <item x="0"/>
        <item x="1"/>
        <item t="default"/>
      </items>
    </pivotField>
    <pivotField showAll="0">
      <items count="15">
        <item x="4"/>
        <item x="5"/>
        <item x="0"/>
        <item x="2"/>
        <item x="10"/>
        <item x="9"/>
        <item x="12"/>
        <item x="13"/>
        <item x="8"/>
        <item x="7"/>
        <item x="11"/>
        <item x="1"/>
        <item x="3"/>
        <item x="6"/>
        <item t="default"/>
      </items>
    </pivotField>
    <pivotField axis="axisRow" dataField="1" showAll="0">
      <items count="6">
        <item x="4"/>
        <item x="0"/>
        <item x="2"/>
        <item x="3"/>
        <item x="1"/>
        <item t="default"/>
      </items>
    </pivotField>
    <pivotField showAll="0"/>
  </pivotFields>
  <rowFields count="1">
    <field x="18"/>
  </rowFields>
  <rowItems count="6">
    <i>
      <x/>
    </i>
    <i>
      <x v="1"/>
    </i>
    <i>
      <x v="2"/>
    </i>
    <i>
      <x v="3"/>
    </i>
    <i>
      <x v="4"/>
    </i>
    <i t="grand">
      <x/>
    </i>
  </rowItems>
  <colItems count="1">
    <i/>
  </colItems>
  <dataFields count="1">
    <dataField name="Count of Question 13" fld="18" subtotal="count" baseField="0" baseItem="0"/>
  </dataFields>
  <chartFormats count="6">
    <chartFormat chart="14" format="0" series="1">
      <pivotArea type="data" outline="0" fieldPosition="0">
        <references count="1">
          <reference field="4294967294" count="1" selected="0">
            <x v="0"/>
          </reference>
        </references>
      </pivotArea>
    </chartFormat>
    <chartFormat chart="14" format="1">
      <pivotArea type="data" outline="0" fieldPosition="0">
        <references count="2">
          <reference field="4294967294" count="1" selected="0">
            <x v="0"/>
          </reference>
          <reference field="18" count="1" selected="0">
            <x v="0"/>
          </reference>
        </references>
      </pivotArea>
    </chartFormat>
    <chartFormat chart="14" format="2">
      <pivotArea type="data" outline="0" fieldPosition="0">
        <references count="2">
          <reference field="4294967294" count="1" selected="0">
            <x v="0"/>
          </reference>
          <reference field="18" count="1" selected="0">
            <x v="1"/>
          </reference>
        </references>
      </pivotArea>
    </chartFormat>
    <chartFormat chart="14" format="3">
      <pivotArea type="data" outline="0" fieldPosition="0">
        <references count="2">
          <reference field="4294967294" count="1" selected="0">
            <x v="0"/>
          </reference>
          <reference field="18" count="1" selected="0">
            <x v="2"/>
          </reference>
        </references>
      </pivotArea>
    </chartFormat>
    <chartFormat chart="14" format="4">
      <pivotArea type="data" outline="0" fieldPosition="0">
        <references count="2">
          <reference field="4294967294" count="1" selected="0">
            <x v="0"/>
          </reference>
          <reference field="18" count="1" selected="0">
            <x v="3"/>
          </reference>
        </references>
      </pivotArea>
    </chartFormat>
    <chartFormat chart="14" format="5">
      <pivotArea type="data" outline="0" fieldPosition="0">
        <references count="2">
          <reference field="4294967294" count="1" selected="0">
            <x v="0"/>
          </reference>
          <reference field="18"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AC07D4C-554D-474D-8610-F65C77C1E73D}"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22:B27" firstHeaderRow="1" firstDataRow="1" firstDataCol="1"/>
  <pivotFields count="20">
    <pivotField showAll="0"/>
    <pivotField numFmtId="164" showAll="0"/>
    <pivotField numFmtId="164" showAll="0"/>
    <pivotField showAll="0">
      <items count="2">
        <item x="0"/>
        <item t="default"/>
      </items>
    </pivotField>
    <pivotField showAll="0"/>
    <pivotField showAll="0"/>
    <pivotField showAll="0">
      <items count="5">
        <item x="0"/>
        <item x="3"/>
        <item x="1"/>
        <item x="2"/>
        <item t="default"/>
      </items>
    </pivotField>
    <pivotField showAll="0">
      <items count="5">
        <item x="1"/>
        <item x="3"/>
        <item x="0"/>
        <item x="2"/>
        <item t="default"/>
      </items>
    </pivotField>
    <pivotField showAll="0">
      <items count="5">
        <item x="0"/>
        <item x="2"/>
        <item x="1"/>
        <item x="3"/>
        <item t="default"/>
      </items>
    </pivotField>
    <pivotField showAll="0">
      <items count="5">
        <item x="1"/>
        <item x="3"/>
        <item x="0"/>
        <item x="2"/>
        <item t="default"/>
      </items>
    </pivotField>
    <pivotField axis="axisRow" dataField="1" showAll="0">
      <items count="5">
        <item x="3"/>
        <item x="0"/>
        <item x="1"/>
        <item x="2"/>
        <item t="default"/>
      </items>
    </pivotField>
    <pivotField showAll="0"/>
    <pivotField showAll="0"/>
    <pivotField showAll="0"/>
    <pivotField showAll="0"/>
    <pivotField showAll="0"/>
    <pivotField showAll="0"/>
    <pivotField showAll="0"/>
    <pivotField showAll="0"/>
    <pivotField showAll="0"/>
  </pivotFields>
  <rowFields count="1">
    <field x="10"/>
  </rowFields>
  <rowItems count="5">
    <i>
      <x/>
    </i>
    <i>
      <x v="1"/>
    </i>
    <i>
      <x v="2"/>
    </i>
    <i>
      <x v="3"/>
    </i>
    <i t="grand">
      <x/>
    </i>
  </rowItems>
  <colItems count="1">
    <i/>
  </colItems>
  <dataFields count="1">
    <dataField name="Count of Question 5" fld="10" subtotal="count" baseField="0" baseItem="0"/>
  </dataFields>
  <chartFormats count="5">
    <chartFormat chart="14" format="0" series="1">
      <pivotArea type="data" outline="0" fieldPosition="0">
        <references count="1">
          <reference field="4294967294" count="1" selected="0">
            <x v="0"/>
          </reference>
        </references>
      </pivotArea>
    </chartFormat>
    <chartFormat chart="14" format="1">
      <pivotArea type="data" outline="0" fieldPosition="0">
        <references count="2">
          <reference field="4294967294" count="1" selected="0">
            <x v="0"/>
          </reference>
          <reference field="10" count="1" selected="0">
            <x v="0"/>
          </reference>
        </references>
      </pivotArea>
    </chartFormat>
    <chartFormat chart="14" format="2">
      <pivotArea type="data" outline="0" fieldPosition="0">
        <references count="2">
          <reference field="4294967294" count="1" selected="0">
            <x v="0"/>
          </reference>
          <reference field="10" count="1" selected="0">
            <x v="1"/>
          </reference>
        </references>
      </pivotArea>
    </chartFormat>
    <chartFormat chart="14" format="3">
      <pivotArea type="data" outline="0" fieldPosition="0">
        <references count="2">
          <reference field="4294967294" count="1" selected="0">
            <x v="0"/>
          </reference>
          <reference field="10" count="1" selected="0">
            <x v="2"/>
          </reference>
        </references>
      </pivotArea>
    </chartFormat>
    <chartFormat chart="14" format="4">
      <pivotArea type="data" outline="0" fieldPosition="0">
        <references count="2">
          <reference field="4294967294" count="1" selected="0">
            <x v="0"/>
          </reference>
          <reference field="1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A3E38DA-598E-4DD7-AB90-4571FE1F0DA7}"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66:B70" firstHeaderRow="1" firstDataRow="1" firstDataCol="1"/>
  <pivotFields count="20">
    <pivotField showAll="0"/>
    <pivotField numFmtId="164" showAll="0"/>
    <pivotField numFmtId="164" showAll="0"/>
    <pivotField showAll="0">
      <items count="2">
        <item x="0"/>
        <item t="default"/>
      </items>
    </pivotField>
    <pivotField showAll="0"/>
    <pivotField showAll="0"/>
    <pivotField showAll="0">
      <items count="5">
        <item x="0"/>
        <item x="3"/>
        <item x="1"/>
        <item x="2"/>
        <item t="default"/>
      </items>
    </pivotField>
    <pivotField showAll="0">
      <items count="5">
        <item x="1"/>
        <item x="3"/>
        <item x="0"/>
        <item x="2"/>
        <item t="default"/>
      </items>
    </pivotField>
    <pivotField showAll="0">
      <items count="5">
        <item x="0"/>
        <item x="2"/>
        <item x="1"/>
        <item x="3"/>
        <item t="default"/>
      </items>
    </pivotField>
    <pivotField showAll="0"/>
    <pivotField showAll="0"/>
    <pivotField showAll="0"/>
    <pivotField showAll="0"/>
    <pivotField showAll="0">
      <items count="5">
        <item x="1"/>
        <item x="3"/>
        <item x="0"/>
        <item x="2"/>
        <item t="default"/>
      </items>
    </pivotField>
    <pivotField showAll="0"/>
    <pivotField showAll="0"/>
    <pivotField showAll="0"/>
    <pivotField showAll="0"/>
    <pivotField showAll="0">
      <items count="6">
        <item x="4"/>
        <item x="0"/>
        <item x="2"/>
        <item x="3"/>
        <item x="1"/>
        <item t="default"/>
      </items>
    </pivotField>
    <pivotField axis="axisRow" dataField="1" showAll="0">
      <items count="4">
        <item x="0"/>
        <item x="1"/>
        <item x="2"/>
        <item t="default"/>
      </items>
    </pivotField>
  </pivotFields>
  <rowFields count="1">
    <field x="19"/>
  </rowFields>
  <rowItems count="4">
    <i>
      <x/>
    </i>
    <i>
      <x v="1"/>
    </i>
    <i>
      <x v="2"/>
    </i>
    <i t="grand">
      <x/>
    </i>
  </rowItems>
  <colItems count="1">
    <i/>
  </colItems>
  <dataFields count="1">
    <dataField name="Count of Question 14" fld="19" subtotal="count" baseField="0" baseItem="0"/>
  </dataFields>
  <chartFormats count="4">
    <chartFormat chart="14" format="0" series="1">
      <pivotArea type="data" outline="0" fieldPosition="0">
        <references count="1">
          <reference field="4294967294" count="1" selected="0">
            <x v="0"/>
          </reference>
        </references>
      </pivotArea>
    </chartFormat>
    <chartFormat chart="14" format="1">
      <pivotArea type="data" outline="0" fieldPosition="0">
        <references count="2">
          <reference field="4294967294" count="1" selected="0">
            <x v="0"/>
          </reference>
          <reference field="19" count="1" selected="0">
            <x v="0"/>
          </reference>
        </references>
      </pivotArea>
    </chartFormat>
    <chartFormat chart="14" format="2">
      <pivotArea type="data" outline="0" fieldPosition="0">
        <references count="2">
          <reference field="4294967294" count="1" selected="0">
            <x v="0"/>
          </reference>
          <reference field="19" count="1" selected="0">
            <x v="1"/>
          </reference>
        </references>
      </pivotArea>
    </chartFormat>
    <chartFormat chart="14" format="3">
      <pivotArea type="data" outline="0" fieldPosition="0">
        <references count="2">
          <reference field="4294967294" count="1" selected="0">
            <x v="0"/>
          </reference>
          <reference field="19"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B75275-CE37-41CD-B7CA-E9099C65165E}"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44:B50" firstHeaderRow="1" firstDataRow="1" firstDataCol="1"/>
  <pivotFields count="20">
    <pivotField showAll="0"/>
    <pivotField numFmtId="164" showAll="0"/>
    <pivotField numFmtId="164" showAll="0"/>
    <pivotField showAll="0">
      <items count="2">
        <item x="0"/>
        <item t="default"/>
      </items>
    </pivotField>
    <pivotField showAll="0"/>
    <pivotField showAll="0"/>
    <pivotField showAll="0">
      <items count="5">
        <item x="0"/>
        <item x="3"/>
        <item x="1"/>
        <item x="2"/>
        <item t="default"/>
      </items>
    </pivotField>
    <pivotField showAll="0">
      <items count="5">
        <item x="1"/>
        <item x="3"/>
        <item x="0"/>
        <item x="2"/>
        <item t="default"/>
      </items>
    </pivotField>
    <pivotField showAll="0">
      <items count="5">
        <item x="0"/>
        <item x="2"/>
        <item x="1"/>
        <item x="3"/>
        <item t="default"/>
      </items>
    </pivotField>
    <pivotField showAll="0">
      <items count="5">
        <item x="1"/>
        <item x="3"/>
        <item x="0"/>
        <item x="2"/>
        <item t="default"/>
      </items>
    </pivotField>
    <pivotField showAll="0"/>
    <pivotField showAll="0"/>
    <pivotField showAll="0"/>
    <pivotField showAll="0"/>
    <pivotField axis="axisRow" dataField="1" showAll="0">
      <items count="6">
        <item x="1"/>
        <item x="4"/>
        <item x="0"/>
        <item x="2"/>
        <item x="3"/>
        <item t="default"/>
      </items>
    </pivotField>
    <pivotField showAll="0"/>
    <pivotField showAll="0"/>
    <pivotField showAll="0"/>
    <pivotField showAll="0"/>
    <pivotField showAll="0"/>
  </pivotFields>
  <rowFields count="1">
    <field x="14"/>
  </rowFields>
  <rowItems count="6">
    <i>
      <x/>
    </i>
    <i>
      <x v="1"/>
    </i>
    <i>
      <x v="2"/>
    </i>
    <i>
      <x v="3"/>
    </i>
    <i>
      <x v="4"/>
    </i>
    <i t="grand">
      <x/>
    </i>
  </rowItems>
  <colItems count="1">
    <i/>
  </colItems>
  <dataFields count="1">
    <dataField name="Count of Question 9" fld="14" subtotal="count" baseField="0" baseItem="0"/>
  </dataFields>
  <chartFormats count="6">
    <chartFormat chart="14" format="0" series="1">
      <pivotArea type="data" outline="0" fieldPosition="0">
        <references count="1">
          <reference field="4294967294" count="1" selected="0">
            <x v="0"/>
          </reference>
        </references>
      </pivotArea>
    </chartFormat>
    <chartFormat chart="14" format="1">
      <pivotArea type="data" outline="0" fieldPosition="0">
        <references count="2">
          <reference field="4294967294" count="1" selected="0">
            <x v="0"/>
          </reference>
          <reference field="14" count="1" selected="0">
            <x v="0"/>
          </reference>
        </references>
      </pivotArea>
    </chartFormat>
    <chartFormat chart="14" format="2">
      <pivotArea type="data" outline="0" fieldPosition="0">
        <references count="2">
          <reference field="4294967294" count="1" selected="0">
            <x v="0"/>
          </reference>
          <reference field="14" count="1" selected="0">
            <x v="1"/>
          </reference>
        </references>
      </pivotArea>
    </chartFormat>
    <chartFormat chart="14" format="3">
      <pivotArea type="data" outline="0" fieldPosition="0">
        <references count="2">
          <reference field="4294967294" count="1" selected="0">
            <x v="0"/>
          </reference>
          <reference field="14" count="1" selected="0">
            <x v="2"/>
          </reference>
        </references>
      </pivotArea>
    </chartFormat>
    <chartFormat chart="14" format="4">
      <pivotArea type="data" outline="0" fieldPosition="0">
        <references count="2">
          <reference field="4294967294" count="1" selected="0">
            <x v="0"/>
          </reference>
          <reference field="14" count="1" selected="0">
            <x v="3"/>
          </reference>
        </references>
      </pivotArea>
    </chartFormat>
    <chartFormat chart="14" format="5">
      <pivotArea type="data" outline="0" fieldPosition="0">
        <references count="2">
          <reference field="4294967294" count="1" selected="0">
            <x v="0"/>
          </reference>
          <reference field="1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5A7D198-AABF-4985-878E-5A940062ED27}"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D22:E28" firstHeaderRow="1" firstDataRow="1" firstDataCol="1"/>
  <pivotFields count="20">
    <pivotField showAll="0"/>
    <pivotField numFmtId="164" showAll="0"/>
    <pivotField numFmtId="164" showAll="0"/>
    <pivotField showAll="0">
      <items count="2">
        <item x="0"/>
        <item t="default"/>
      </items>
    </pivotField>
    <pivotField showAll="0"/>
    <pivotField showAll="0"/>
    <pivotField showAll="0">
      <items count="5">
        <item x="0"/>
        <item x="3"/>
        <item x="1"/>
        <item x="2"/>
        <item t="default"/>
      </items>
    </pivotField>
    <pivotField showAll="0">
      <items count="5">
        <item x="1"/>
        <item x="3"/>
        <item x="0"/>
        <item x="2"/>
        <item t="default"/>
      </items>
    </pivotField>
    <pivotField showAll="0"/>
    <pivotField showAll="0"/>
    <pivotField showAll="0"/>
    <pivotField axis="axisRow" dataField="1" showAll="0">
      <items count="6">
        <item x="0"/>
        <item x="4"/>
        <item x="1"/>
        <item x="2"/>
        <item x="3"/>
        <item t="default"/>
      </items>
    </pivotField>
    <pivotField showAll="0"/>
    <pivotField showAll="0"/>
    <pivotField showAll="0"/>
    <pivotField showAll="0"/>
    <pivotField showAll="0"/>
    <pivotField showAll="0"/>
    <pivotField showAll="0"/>
    <pivotField showAll="0"/>
  </pivotFields>
  <rowFields count="1">
    <field x="11"/>
  </rowFields>
  <rowItems count="6">
    <i>
      <x/>
    </i>
    <i>
      <x v="1"/>
    </i>
    <i>
      <x v="2"/>
    </i>
    <i>
      <x v="3"/>
    </i>
    <i>
      <x v="4"/>
    </i>
    <i t="grand">
      <x/>
    </i>
  </rowItems>
  <colItems count="1">
    <i/>
  </colItems>
  <dataFields count="1">
    <dataField name="Count of Question 6" fld="11" subtotal="count" baseField="0" baseItem="0"/>
  </dataFields>
  <chartFormats count="6">
    <chartFormat chart="14" format="0" series="1">
      <pivotArea type="data" outline="0" fieldPosition="0">
        <references count="1">
          <reference field="4294967294" count="1" selected="0">
            <x v="0"/>
          </reference>
        </references>
      </pivotArea>
    </chartFormat>
    <chartFormat chart="14" format="1">
      <pivotArea type="data" outline="0" fieldPosition="0">
        <references count="2">
          <reference field="4294967294" count="1" selected="0">
            <x v="0"/>
          </reference>
          <reference field="11" count="1" selected="0">
            <x v="0"/>
          </reference>
        </references>
      </pivotArea>
    </chartFormat>
    <chartFormat chart="14" format="2">
      <pivotArea type="data" outline="0" fieldPosition="0">
        <references count="2">
          <reference field="4294967294" count="1" selected="0">
            <x v="0"/>
          </reference>
          <reference field="11" count="1" selected="0">
            <x v="1"/>
          </reference>
        </references>
      </pivotArea>
    </chartFormat>
    <chartFormat chart="14" format="3">
      <pivotArea type="data" outline="0" fieldPosition="0">
        <references count="2">
          <reference field="4294967294" count="1" selected="0">
            <x v="0"/>
          </reference>
          <reference field="11" count="1" selected="0">
            <x v="2"/>
          </reference>
        </references>
      </pivotArea>
    </chartFormat>
    <chartFormat chart="14" format="4">
      <pivotArea type="data" outline="0" fieldPosition="0">
        <references count="2">
          <reference field="4294967294" count="1" selected="0">
            <x v="0"/>
          </reference>
          <reference field="11" count="1" selected="0">
            <x v="3"/>
          </reference>
        </references>
      </pivotArea>
    </chartFormat>
    <chartFormat chart="14" format="5">
      <pivotArea type="data" outline="0" fieldPosition="0">
        <references count="2">
          <reference field="4294967294" count="1" selected="0">
            <x v="0"/>
          </reference>
          <reference field="1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FF5A775-277C-474F-B90A-9FBCAA207002}"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J22:K27" firstHeaderRow="1" firstDataRow="1" firstDataCol="1"/>
  <pivotFields count="20">
    <pivotField showAll="0"/>
    <pivotField numFmtId="164" showAll="0"/>
    <pivotField numFmtId="164" showAll="0"/>
    <pivotField showAll="0">
      <items count="2">
        <item x="0"/>
        <item t="default"/>
      </items>
    </pivotField>
    <pivotField showAll="0"/>
    <pivotField showAll="0"/>
    <pivotField showAll="0">
      <items count="5">
        <item x="0"/>
        <item x="3"/>
        <item x="1"/>
        <item x="2"/>
        <item t="default"/>
      </items>
    </pivotField>
    <pivotField showAll="0">
      <items count="5">
        <item x="1"/>
        <item x="3"/>
        <item x="0"/>
        <item x="2"/>
        <item t="default"/>
      </items>
    </pivotField>
    <pivotField showAll="0">
      <items count="5">
        <item x="0"/>
        <item x="2"/>
        <item x="1"/>
        <item x="3"/>
        <item t="default"/>
      </items>
    </pivotField>
    <pivotField showAll="0"/>
    <pivotField showAll="0"/>
    <pivotField showAll="0"/>
    <pivotField showAll="0"/>
    <pivotField axis="axisRow" dataField="1" showAll="0">
      <items count="5">
        <item x="1"/>
        <item x="3"/>
        <item x="0"/>
        <item x="2"/>
        <item t="default"/>
      </items>
    </pivotField>
    <pivotField showAll="0"/>
    <pivotField showAll="0"/>
    <pivotField showAll="0"/>
    <pivotField showAll="0"/>
    <pivotField showAll="0"/>
    <pivotField showAll="0"/>
  </pivotFields>
  <rowFields count="1">
    <field x="13"/>
  </rowFields>
  <rowItems count="5">
    <i>
      <x/>
    </i>
    <i>
      <x v="1"/>
    </i>
    <i>
      <x v="2"/>
    </i>
    <i>
      <x v="3"/>
    </i>
    <i t="grand">
      <x/>
    </i>
  </rowItems>
  <colItems count="1">
    <i/>
  </colItems>
  <dataFields count="1">
    <dataField name="Count of Question 8" fld="13" subtotal="count" baseField="0" baseItem="0"/>
  </dataFields>
  <chartFormats count="5">
    <chartFormat chart="14" format="0" series="1">
      <pivotArea type="data" outline="0" fieldPosition="0">
        <references count="1">
          <reference field="4294967294" count="1" selected="0">
            <x v="0"/>
          </reference>
        </references>
      </pivotArea>
    </chartFormat>
    <chartFormat chart="14" format="1">
      <pivotArea type="data" outline="0" fieldPosition="0">
        <references count="2">
          <reference field="4294967294" count="1" selected="0">
            <x v="0"/>
          </reference>
          <reference field="13" count="1" selected="0">
            <x v="0"/>
          </reference>
        </references>
      </pivotArea>
    </chartFormat>
    <chartFormat chart="14" format="2">
      <pivotArea type="data" outline="0" fieldPosition="0">
        <references count="2">
          <reference field="4294967294" count="1" selected="0">
            <x v="0"/>
          </reference>
          <reference field="13" count="1" selected="0">
            <x v="1"/>
          </reference>
        </references>
      </pivotArea>
    </chartFormat>
    <chartFormat chart="14" format="3">
      <pivotArea type="data" outline="0" fieldPosition="0">
        <references count="2">
          <reference field="4294967294" count="1" selected="0">
            <x v="0"/>
          </reference>
          <reference field="13" count="1" selected="0">
            <x v="2"/>
          </reference>
        </references>
      </pivotArea>
    </chartFormat>
    <chartFormat chart="14" format="4">
      <pivotArea type="data" outline="0" fieldPosition="0">
        <references count="2">
          <reference field="4294967294" count="1" selected="0">
            <x v="0"/>
          </reference>
          <reference field="1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C04B83F-081F-42F7-80D9-A187F678A908}"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G44:H47" firstHeaderRow="1" firstDataRow="1" firstDataCol="1"/>
  <pivotFields count="20">
    <pivotField showAll="0"/>
    <pivotField numFmtId="164" showAll="0"/>
    <pivotField numFmtId="164" showAll="0"/>
    <pivotField showAll="0">
      <items count="2">
        <item x="0"/>
        <item t="default"/>
      </items>
    </pivotField>
    <pivotField showAll="0"/>
    <pivotField showAll="0"/>
    <pivotField showAll="0">
      <items count="5">
        <item x="0"/>
        <item x="3"/>
        <item x="1"/>
        <item x="2"/>
        <item t="default"/>
      </items>
    </pivotField>
    <pivotField showAll="0">
      <items count="5">
        <item x="1"/>
        <item x="3"/>
        <item x="0"/>
        <item x="2"/>
        <item t="default"/>
      </items>
    </pivotField>
    <pivotField showAll="0"/>
    <pivotField showAll="0"/>
    <pivotField showAll="0"/>
    <pivotField showAll="0">
      <items count="6">
        <item x="0"/>
        <item x="4"/>
        <item x="1"/>
        <item x="2"/>
        <item x="3"/>
        <item t="default"/>
      </items>
    </pivotField>
    <pivotField showAll="0"/>
    <pivotField showAll="0"/>
    <pivotField showAll="0"/>
    <pivotField showAll="0"/>
    <pivotField axis="axisRow" dataField="1" showAll="0">
      <items count="3">
        <item x="0"/>
        <item x="1"/>
        <item t="default"/>
      </items>
    </pivotField>
    <pivotField showAll="0"/>
    <pivotField showAll="0"/>
    <pivotField showAll="0"/>
  </pivotFields>
  <rowFields count="1">
    <field x="16"/>
  </rowFields>
  <rowItems count="3">
    <i>
      <x/>
    </i>
    <i>
      <x v="1"/>
    </i>
    <i t="grand">
      <x/>
    </i>
  </rowItems>
  <colItems count="1">
    <i/>
  </colItems>
  <dataFields count="1">
    <dataField name="Count of Question 11" fld="16" subtotal="count" baseField="0" baseItem="0"/>
  </dataFields>
  <chartFormats count="3">
    <chartFormat chart="18" format="0" series="1">
      <pivotArea type="data" outline="0" fieldPosition="0">
        <references count="1">
          <reference field="4294967294" count="1" selected="0">
            <x v="0"/>
          </reference>
        </references>
      </pivotArea>
    </chartFormat>
    <chartFormat chart="18" format="1">
      <pivotArea type="data" outline="0" fieldPosition="0">
        <references count="2">
          <reference field="4294967294" count="1" selected="0">
            <x v="0"/>
          </reference>
          <reference field="16" count="1" selected="0">
            <x v="0"/>
          </reference>
        </references>
      </pivotArea>
    </chartFormat>
    <chartFormat chart="18" format="2">
      <pivotArea type="data" outline="0" fieldPosition="0">
        <references count="2">
          <reference field="4294967294" count="1" selected="0">
            <x v="0"/>
          </reference>
          <reference field="1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DEB0568-BE1C-45F9-B624-E1DB32413F1F}"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G22:H27" firstHeaderRow="1" firstDataRow="1" firstDataCol="1"/>
  <pivotFields count="20">
    <pivotField showAll="0"/>
    <pivotField numFmtId="164" showAll="0"/>
    <pivotField numFmtId="164" showAll="0"/>
    <pivotField showAll="0">
      <items count="2">
        <item x="0"/>
        <item t="default"/>
      </items>
    </pivotField>
    <pivotField showAll="0"/>
    <pivotField showAll="0"/>
    <pivotField showAll="0">
      <items count="5">
        <item x="0"/>
        <item x="3"/>
        <item x="1"/>
        <item x="2"/>
        <item t="default"/>
      </items>
    </pivotField>
    <pivotField showAll="0">
      <items count="5">
        <item x="1"/>
        <item x="3"/>
        <item x="0"/>
        <item x="2"/>
        <item t="default"/>
      </items>
    </pivotField>
    <pivotField showAll="0"/>
    <pivotField showAll="0"/>
    <pivotField showAll="0"/>
    <pivotField showAll="0"/>
    <pivotField axis="axisRow" dataField="1" showAll="0">
      <items count="5">
        <item x="0"/>
        <item x="2"/>
        <item x="1"/>
        <item x="3"/>
        <item t="default"/>
      </items>
    </pivotField>
    <pivotField showAll="0"/>
    <pivotField showAll="0"/>
    <pivotField showAll="0"/>
    <pivotField showAll="0"/>
    <pivotField showAll="0"/>
    <pivotField showAll="0"/>
    <pivotField showAll="0"/>
  </pivotFields>
  <rowFields count="1">
    <field x="12"/>
  </rowFields>
  <rowItems count="5">
    <i>
      <x/>
    </i>
    <i>
      <x v="1"/>
    </i>
    <i>
      <x v="2"/>
    </i>
    <i>
      <x v="3"/>
    </i>
    <i t="grand">
      <x/>
    </i>
  </rowItems>
  <colItems count="1">
    <i/>
  </colItems>
  <dataFields count="1">
    <dataField name="Count of Question 7" fld="12" subtotal="count" baseField="0" baseItem="0"/>
  </dataFields>
  <chartFormats count="5">
    <chartFormat chart="14" format="0" series="1">
      <pivotArea type="data" outline="0" fieldPosition="0">
        <references count="1">
          <reference field="4294967294" count="1" selected="0">
            <x v="0"/>
          </reference>
        </references>
      </pivotArea>
    </chartFormat>
    <chartFormat chart="14" format="1">
      <pivotArea type="data" outline="0" fieldPosition="0">
        <references count="2">
          <reference field="4294967294" count="1" selected="0">
            <x v="0"/>
          </reference>
          <reference field="12" count="1" selected="0">
            <x v="0"/>
          </reference>
        </references>
      </pivotArea>
    </chartFormat>
    <chartFormat chart="14" format="2">
      <pivotArea type="data" outline="0" fieldPosition="0">
        <references count="2">
          <reference field="4294967294" count="1" selected="0">
            <x v="0"/>
          </reference>
          <reference field="12" count="1" selected="0">
            <x v="1"/>
          </reference>
        </references>
      </pivotArea>
    </chartFormat>
    <chartFormat chart="14" format="3">
      <pivotArea type="data" outline="0" fieldPosition="0">
        <references count="2">
          <reference field="4294967294" count="1" selected="0">
            <x v="0"/>
          </reference>
          <reference field="12" count="1" selected="0">
            <x v="2"/>
          </reference>
        </references>
      </pivotArea>
    </chartFormat>
    <chartFormat chart="14" format="4">
      <pivotArea type="data" outline="0" fieldPosition="0">
        <references count="2">
          <reference field="4294967294" count="1" selected="0">
            <x v="0"/>
          </reference>
          <reference field="1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F779955-7149-4C5D-A8CB-F7590C81D0CA}" name="Table1" displayName="Table1" ref="A1:T15" totalsRowShown="0" dataDxfId="20">
  <autoFilter ref="A1:T15" xr:uid="{BF779955-7149-4C5D-A8CB-F7590C81D0CA}"/>
  <tableColumns count="20">
    <tableColumn id="1" xr3:uid="{EB1D9AF2-67B4-4D31-83C3-A3E7C96D3E66}" name="ID" dataDxfId="19"/>
    <tableColumn id="2" xr3:uid="{8822B9A8-C11B-4D22-AE9B-3796503CD777}" name="Start time" dataDxfId="18"/>
    <tableColumn id="3" xr3:uid="{92E2CFF8-BC39-4B97-A6C9-31A2187FBF3A}" name="Completion time" dataDxfId="17"/>
    <tableColumn id="4" xr3:uid="{4BD36C25-5C8D-42C7-9B5E-5D3E9FF5E33D}" name="Email" dataDxfId="16"/>
    <tableColumn id="5" xr3:uid="{8D2D9A96-5AE5-41E5-9D8F-79AE4552CCC4}" name="Name" dataDxfId="15"/>
    <tableColumn id="6" xr3:uid="{33A1B575-BB15-4565-A2C3-5165906258CB}" name="Last modified time" dataDxfId="14"/>
    <tableColumn id="7" xr3:uid="{56D45AB5-4E9A-4C48-A005-34C8E8B9D557}" name="Question 1" dataDxfId="13"/>
    <tableColumn id="8" xr3:uid="{78868BA6-412B-4C56-984F-91D551A94345}" name="Question 2" dataDxfId="12"/>
    <tableColumn id="9" xr3:uid="{5810FF65-1121-4930-BE3C-BDEA1C8D8FC0}" name="Question 3" dataDxfId="11"/>
    <tableColumn id="10" xr3:uid="{9AF13325-9AC0-4CC9-BC20-36CB78F3C2EC}" name="Question 4" dataDxfId="10"/>
    <tableColumn id="11" xr3:uid="{2D614C31-7D4C-4CB7-B34F-4061501EC962}" name="Question 5" dataDxfId="9"/>
    <tableColumn id="12" xr3:uid="{3F77FC87-3A08-4111-BAD4-51F118F71E53}" name="Question 6" dataDxfId="8"/>
    <tableColumn id="13" xr3:uid="{6424AE13-D2EC-4834-B0F0-B7C50CB8CEA7}" name="Question 7" dataDxfId="7"/>
    <tableColumn id="14" xr3:uid="{C0059867-9D65-4364-BE94-7A6D695BD836}" name="Question 8" dataDxfId="6"/>
    <tableColumn id="15" xr3:uid="{D07A2231-AA41-4086-99A3-EF3E9B7F0609}" name="Question 9" dataDxfId="5"/>
    <tableColumn id="16" xr3:uid="{4D9AD756-244C-412B-A332-F52B2FFA835B}" name="Question 10" dataDxfId="4"/>
    <tableColumn id="17" xr3:uid="{445D1ADA-1D7A-4C58-B423-7E37A7AE9035}" name="Question 11" dataDxfId="3"/>
    <tableColumn id="18" xr3:uid="{EA33F1D7-E15D-4AA5-881A-C6EA4638487F}" name="Question 12" dataDxfId="2"/>
    <tableColumn id="19" xr3:uid="{B42D4D00-B931-4AF8-958F-C7419746363C}" name="Question 13" dataDxfId="1"/>
    <tableColumn id="20" xr3:uid="{6D8CF81C-ABE4-45ED-9274-1256A9C12A1C}" name="Question 14"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11" dT="2025-06-16T09:30:21.01" personId="{29E4A44A-AB11-48A7-82C5-EEC5D423C88E}" id="{81150143-CD5E-4C43-B864-62F932CCBA55}">
    <text>Average of the Brand Averages</text>
  </threadedComment>
  <threadedComment ref="Q15" dT="2025-06-19T16:10:07.73" personId="{29E4A44A-AB11-48A7-82C5-EEC5D423C88E}" id="{CB882B39-B704-4BFA-8F64-EC9704E695F2}">
    <text>The range of prices between all devices</text>
  </threadedComment>
</ThreadedComments>
</file>

<file path=xl/threadedComments/threadedComment2.xml><?xml version="1.0" encoding="utf-8"?>
<ThreadedComments xmlns="http://schemas.microsoft.com/office/spreadsheetml/2018/threadedcomments" xmlns:x="http://schemas.openxmlformats.org/spreadsheetml/2006/main">
  <threadedComment ref="H1" dT="2025-06-16T09:48:59.47" personId="{29E4A44A-AB11-48A7-82C5-EEC5D423C88E}" id="{381F5776-926A-4AE8-802C-993AE6209F34}">
    <text>Average accuracy rating of each brand rounded down to the nearest whole number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A34" dT="2025-06-16T10:33:02.82" personId="{29E4A44A-AB11-48A7-82C5-EEC5D423C88E}" id="{3984D473-AB58-44F2-BD66-B31BE6C017B4}">
    <text xml:space="preserve">Compares average values with the table using xlookup. If the decimal is bigger than 0.5 then it rounds up first and if its smaller then it rounds down.
</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drawing" Target="../drawings/drawing3.xml"/><Relationship Id="rId7" Type="http://schemas.openxmlformats.org/officeDocument/2006/relationships/table" Target="../tables/table1.xml"/><Relationship Id="rId2" Type="http://schemas.openxmlformats.org/officeDocument/2006/relationships/printerSettings" Target="../printerSettings/printerSettings3.bin"/><Relationship Id="rId1" Type="http://schemas.openxmlformats.org/officeDocument/2006/relationships/hyperlink" Target="https://forms.office.com/Pages/ResponsePage.aspx?id=A3Mr9RQxa02s4Pgd6_J4WyTc7fxL7nBDkW5YggPDToVUMDdHUllVVUJZUFpTOU1WRUwzOU45U1BONS4u"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3.vml"/><Relationship Id="rId9"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9.xml"/><Relationship Id="rId13" Type="http://schemas.openxmlformats.org/officeDocument/2006/relationships/pivotTable" Target="../pivotTables/pivotTable14.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pivotTable" Target="../pivotTables/pivotTable13.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ivotTable" Target="../pivotTables/pivotTable12.xml"/><Relationship Id="rId5" Type="http://schemas.openxmlformats.org/officeDocument/2006/relationships/pivotTable" Target="../pivotTables/pivotTable6.xml"/><Relationship Id="rId15" Type="http://schemas.openxmlformats.org/officeDocument/2006/relationships/drawing" Target="../drawings/drawing4.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 Id="rId14"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17"/>
  <sheetViews>
    <sheetView workbookViewId="0">
      <selection activeCell="S9" sqref="S9"/>
    </sheetView>
  </sheetViews>
  <sheetFormatPr defaultRowHeight="14.4" x14ac:dyDescent="0.3"/>
  <cols>
    <col min="1" max="1" width="18.77734375" bestFit="1" customWidth="1"/>
    <col min="2" max="2" width="7.5546875" bestFit="1" customWidth="1"/>
    <col min="3" max="4" width="8.5546875" bestFit="1" customWidth="1"/>
    <col min="5" max="8" width="7.5546875" bestFit="1" customWidth="1"/>
    <col min="9" max="11" width="8.5546875" bestFit="1" customWidth="1"/>
    <col min="12" max="13" width="9.5546875" bestFit="1" customWidth="1"/>
    <col min="14" max="14" width="7.5546875" bestFit="1" customWidth="1"/>
    <col min="15" max="15" width="8.5546875" bestFit="1" customWidth="1"/>
    <col min="16" max="16" width="7.5546875" bestFit="1" customWidth="1"/>
    <col min="17" max="17" width="13.5546875" bestFit="1" customWidth="1"/>
  </cols>
  <sheetData>
    <row r="1" spans="1:17" x14ac:dyDescent="0.3">
      <c r="A1" s="50" t="s">
        <v>0</v>
      </c>
      <c r="B1" s="42" t="s">
        <v>10</v>
      </c>
      <c r="C1" s="42"/>
      <c r="D1" s="42"/>
      <c r="E1" s="42" t="s">
        <v>11</v>
      </c>
      <c r="F1" s="42"/>
      <c r="G1" s="42"/>
      <c r="H1" s="42" t="s">
        <v>12</v>
      </c>
      <c r="I1" s="42"/>
      <c r="J1" s="42"/>
      <c r="K1" s="42" t="s">
        <v>13</v>
      </c>
      <c r="L1" s="42"/>
      <c r="M1" s="42"/>
      <c r="N1" s="42" t="s">
        <v>17</v>
      </c>
      <c r="O1" s="42"/>
      <c r="P1" s="42"/>
      <c r="Q1" s="56" t="s">
        <v>14</v>
      </c>
    </row>
    <row r="2" spans="1:17" x14ac:dyDescent="0.3">
      <c r="A2" s="51"/>
      <c r="B2" s="1" t="s">
        <v>15</v>
      </c>
      <c r="C2" s="4" t="s">
        <v>16</v>
      </c>
      <c r="D2" s="3" t="s">
        <v>18</v>
      </c>
      <c r="E2" s="4" t="s">
        <v>15</v>
      </c>
      <c r="F2" s="4" t="s">
        <v>16</v>
      </c>
      <c r="G2" s="3" t="s">
        <v>18</v>
      </c>
      <c r="H2" s="4" t="s">
        <v>15</v>
      </c>
      <c r="I2" s="4" t="s">
        <v>16</v>
      </c>
      <c r="J2" s="3" t="s">
        <v>18</v>
      </c>
      <c r="K2" s="4" t="s">
        <v>15</v>
      </c>
      <c r="L2" s="4" t="s">
        <v>16</v>
      </c>
      <c r="M2" s="3" t="s">
        <v>18</v>
      </c>
      <c r="N2" s="4" t="s">
        <v>15</v>
      </c>
      <c r="O2" s="4" t="s">
        <v>16</v>
      </c>
      <c r="P2" s="3" t="s">
        <v>18</v>
      </c>
      <c r="Q2" s="56"/>
    </row>
    <row r="3" spans="1:17" x14ac:dyDescent="0.3">
      <c r="A3" s="2" t="s">
        <v>1</v>
      </c>
      <c r="B3" s="31">
        <v>6099</v>
      </c>
      <c r="C3" s="32">
        <v>23399</v>
      </c>
      <c r="D3" s="33">
        <f>(IF(COUNT(B3:C3) = 2, (B3+C3)/2, IF(COUNT(B3)=1, B3, IF(COUNT(C3), C3, "N/A"))))</f>
        <v>14749</v>
      </c>
      <c r="E3" s="32" t="s">
        <v>5</v>
      </c>
      <c r="F3" s="32" t="s">
        <v>5</v>
      </c>
      <c r="G3" s="33" t="str">
        <f>(IF(COUNT(E3:F3) = 2, (E3+F3)/2, IF(COUNT(E3)=1, E3, IF(COUNT(F3), F3, "N/A"))))</f>
        <v>N/A</v>
      </c>
      <c r="H3" s="32" t="s">
        <v>5</v>
      </c>
      <c r="I3" s="32" t="s">
        <v>5</v>
      </c>
      <c r="J3" s="33" t="str">
        <f>(IF(COUNT(H3:I3) = 2, (H3+I3)/2, IF(COUNT(H3)=1, H3, IF(COUNT(I3), I3, "N/A"))))</f>
        <v>N/A</v>
      </c>
      <c r="K3" s="32">
        <v>89999</v>
      </c>
      <c r="L3" s="32">
        <v>129999</v>
      </c>
      <c r="M3" s="33">
        <f>(IF(COUNT(K3:L3) = 2, (K3+L3)/2, IF(COUNT(K3)=1, K3, IF(COUNT(L3), L3, "N/A"))))</f>
        <v>109999</v>
      </c>
      <c r="N3" s="32">
        <v>2999</v>
      </c>
      <c r="O3" s="32">
        <v>12799</v>
      </c>
      <c r="P3" s="33">
        <f>(IF(COUNT(N3:O3) = 2, (N3+O3)/2, IF(COUNT(N3)=1, N3, IF(COUNT(O3), O3, "N/A"))))</f>
        <v>7899</v>
      </c>
      <c r="Q3" s="33">
        <f>AVERAGE(D3,G3,J3,M3,P3)</f>
        <v>44215.666666666664</v>
      </c>
    </row>
    <row r="4" spans="1:17" x14ac:dyDescent="0.3">
      <c r="A4" s="2" t="s">
        <v>2</v>
      </c>
      <c r="B4" s="31">
        <v>4999</v>
      </c>
      <c r="C4" s="32">
        <v>9999</v>
      </c>
      <c r="D4" s="33">
        <f t="shared" ref="D4:D10" si="0">(IF(COUNT(B4:C4) = 2, (B4+C4)/2, IF(COUNT(B4)=1, B4, IF(COUNT(C4), C4, "N/A"))))</f>
        <v>7499</v>
      </c>
      <c r="E4" s="32">
        <v>7999</v>
      </c>
      <c r="F4" s="32" t="s">
        <v>5</v>
      </c>
      <c r="G4" s="33">
        <f t="shared" ref="G4:G10" si="1">(IF(COUNT(E4:F4) = 2, (E4+F4)/2, IF(COUNT(E4)=1, E4, IF(COUNT(F4), F4, "N/A"))))</f>
        <v>7999</v>
      </c>
      <c r="H4" s="32">
        <v>4999</v>
      </c>
      <c r="I4" s="32">
        <v>9999</v>
      </c>
      <c r="J4" s="33">
        <f t="shared" ref="J4:J10" si="2">(IF(COUNT(H4:I4) = 2, (H4+I4)/2, IF(COUNT(H4)=1, H4, IF(COUNT(I4), I4, "N/A"))))</f>
        <v>7499</v>
      </c>
      <c r="K4" s="32">
        <v>899</v>
      </c>
      <c r="L4" s="32" t="s">
        <v>5</v>
      </c>
      <c r="M4" s="33">
        <f t="shared" ref="M4:M10" si="3">(IF(COUNT(K4:L4) = 2, (K4+L4)/2, IF(COUNT(K4)=1, K4, IF(COUNT(L4), L4, "N/A"))))</f>
        <v>899</v>
      </c>
      <c r="N4" s="32">
        <v>1699</v>
      </c>
      <c r="O4" s="32">
        <v>4999</v>
      </c>
      <c r="P4" s="33">
        <f t="shared" ref="P4:P10" si="4">(IF(COUNT(N4:O4) = 2, (N4+O4)/2, IF(COUNT(N4)=1, N4, IF(COUNT(O4), O4, "N/A"))))</f>
        <v>3349</v>
      </c>
      <c r="Q4" s="33">
        <f t="shared" ref="Q4:Q10" si="5">AVERAGE(D4,G4,J4,M4,P4)</f>
        <v>5449</v>
      </c>
    </row>
    <row r="5" spans="1:17" x14ac:dyDescent="0.3">
      <c r="A5" s="2" t="s">
        <v>3</v>
      </c>
      <c r="B5" s="31">
        <v>2837.85</v>
      </c>
      <c r="C5" s="32">
        <v>6665.89</v>
      </c>
      <c r="D5" s="33">
        <f t="shared" si="0"/>
        <v>4751.87</v>
      </c>
      <c r="E5" s="32" t="s">
        <v>5</v>
      </c>
      <c r="F5" s="32" t="s">
        <v>5</v>
      </c>
      <c r="G5" s="33" t="str">
        <f t="shared" si="1"/>
        <v>N/A</v>
      </c>
      <c r="H5" s="32">
        <v>1903.64</v>
      </c>
      <c r="I5" s="32">
        <v>3046.4</v>
      </c>
      <c r="J5" s="33">
        <f>(IF(COUNT(H5:I5) = 2, (H5+I5)/2, IF(COUNT(H5)=1, H5, IF(COUNT(I5), I5, "N/A"))))</f>
        <v>2475.02</v>
      </c>
      <c r="K5" s="32" t="s">
        <v>5</v>
      </c>
      <c r="L5" s="32" t="s">
        <v>5</v>
      </c>
      <c r="M5" s="33" t="str">
        <f t="shared" si="3"/>
        <v>N/A</v>
      </c>
      <c r="N5" s="32" t="s">
        <v>5</v>
      </c>
      <c r="O5" s="32" t="s">
        <v>5</v>
      </c>
      <c r="P5" s="33" t="str">
        <f t="shared" si="4"/>
        <v>N/A</v>
      </c>
      <c r="Q5" s="33">
        <f t="shared" si="5"/>
        <v>3613.4449999999997</v>
      </c>
    </row>
    <row r="6" spans="1:17" x14ac:dyDescent="0.3">
      <c r="A6" s="2" t="s">
        <v>4</v>
      </c>
      <c r="B6" s="31">
        <v>1999</v>
      </c>
      <c r="C6" s="32">
        <v>47499</v>
      </c>
      <c r="D6" s="33">
        <f t="shared" si="0"/>
        <v>24749</v>
      </c>
      <c r="E6" s="32" t="s">
        <v>5</v>
      </c>
      <c r="F6" s="32" t="s">
        <v>5</v>
      </c>
      <c r="G6" s="33" t="str">
        <f t="shared" si="1"/>
        <v>N/A</v>
      </c>
      <c r="H6" s="32">
        <v>1999</v>
      </c>
      <c r="I6" s="32">
        <v>19499</v>
      </c>
      <c r="J6" s="33">
        <f t="shared" si="2"/>
        <v>10749</v>
      </c>
      <c r="K6" s="32" t="s">
        <v>5</v>
      </c>
      <c r="L6" s="32" t="s">
        <v>5</v>
      </c>
      <c r="M6" s="33" t="str">
        <f t="shared" si="3"/>
        <v>N/A</v>
      </c>
      <c r="N6" s="32" t="s">
        <v>5</v>
      </c>
      <c r="O6" s="32" t="s">
        <v>5</v>
      </c>
      <c r="P6" s="33" t="str">
        <f t="shared" si="4"/>
        <v>N/A</v>
      </c>
      <c r="Q6" s="33">
        <f t="shared" si="5"/>
        <v>17749</v>
      </c>
    </row>
    <row r="7" spans="1:17" x14ac:dyDescent="0.3">
      <c r="A7" s="2" t="s">
        <v>6</v>
      </c>
      <c r="B7" s="31">
        <v>749</v>
      </c>
      <c r="C7" s="32">
        <v>4718</v>
      </c>
      <c r="D7" s="33">
        <f t="shared" si="0"/>
        <v>2733.5</v>
      </c>
      <c r="E7" s="32">
        <v>569</v>
      </c>
      <c r="F7" s="32">
        <v>2200</v>
      </c>
      <c r="G7" s="33">
        <f t="shared" si="1"/>
        <v>1384.5</v>
      </c>
      <c r="H7" s="32">
        <v>599</v>
      </c>
      <c r="I7" s="32">
        <v>1799</v>
      </c>
      <c r="J7" s="33">
        <f t="shared" si="2"/>
        <v>1199</v>
      </c>
      <c r="K7" s="32">
        <v>584</v>
      </c>
      <c r="L7" s="32">
        <v>7200</v>
      </c>
      <c r="M7" s="33">
        <f t="shared" si="3"/>
        <v>3892</v>
      </c>
      <c r="N7" s="32">
        <v>130</v>
      </c>
      <c r="O7" s="32">
        <v>3500</v>
      </c>
      <c r="P7" s="33">
        <f t="shared" si="4"/>
        <v>1815</v>
      </c>
      <c r="Q7" s="33">
        <f t="shared" si="5"/>
        <v>2204.8000000000002</v>
      </c>
    </row>
    <row r="8" spans="1:17" x14ac:dyDescent="0.3">
      <c r="A8" s="2" t="s">
        <v>7</v>
      </c>
      <c r="B8" s="31" t="s">
        <v>5</v>
      </c>
      <c r="C8" s="32" t="s">
        <v>5</v>
      </c>
      <c r="D8" s="33" t="str">
        <f t="shared" si="0"/>
        <v>N/A</v>
      </c>
      <c r="E8" s="32">
        <v>5676.69</v>
      </c>
      <c r="F8" s="32">
        <v>7195.54</v>
      </c>
      <c r="G8" s="33">
        <f t="shared" si="1"/>
        <v>6436.1149999999998</v>
      </c>
      <c r="H8" s="32">
        <v>599</v>
      </c>
      <c r="I8" s="32">
        <v>1799</v>
      </c>
      <c r="J8" s="33">
        <f t="shared" si="2"/>
        <v>1199</v>
      </c>
      <c r="K8" s="32" t="s">
        <v>5</v>
      </c>
      <c r="L8" s="32" t="s">
        <v>5</v>
      </c>
      <c r="M8" s="33" t="str">
        <f t="shared" si="3"/>
        <v>N/A</v>
      </c>
      <c r="N8" s="32" t="s">
        <v>5</v>
      </c>
      <c r="O8" s="32" t="s">
        <v>5</v>
      </c>
      <c r="P8" s="33" t="str">
        <f t="shared" si="4"/>
        <v>N/A</v>
      </c>
      <c r="Q8" s="33">
        <f t="shared" si="5"/>
        <v>3817.5574999999999</v>
      </c>
    </row>
    <row r="9" spans="1:17" x14ac:dyDescent="0.3">
      <c r="A9" s="2" t="s">
        <v>8</v>
      </c>
      <c r="B9" s="31">
        <v>2999</v>
      </c>
      <c r="C9" s="32">
        <v>3395</v>
      </c>
      <c r="D9" s="33">
        <f t="shared" si="0"/>
        <v>3197</v>
      </c>
      <c r="E9" s="32" t="s">
        <v>5</v>
      </c>
      <c r="F9" s="32" t="s">
        <v>5</v>
      </c>
      <c r="G9" s="33" t="str">
        <f t="shared" si="1"/>
        <v>N/A</v>
      </c>
      <c r="H9" s="32">
        <v>365</v>
      </c>
      <c r="I9" s="32">
        <v>1190</v>
      </c>
      <c r="J9" s="33">
        <f t="shared" si="2"/>
        <v>777.5</v>
      </c>
      <c r="K9" s="32">
        <v>13499</v>
      </c>
      <c r="L9" s="32" t="s">
        <v>5</v>
      </c>
      <c r="M9" s="33">
        <f t="shared" si="3"/>
        <v>13499</v>
      </c>
      <c r="N9" s="32">
        <v>899</v>
      </c>
      <c r="O9" s="32">
        <v>5999</v>
      </c>
      <c r="P9" s="33">
        <f t="shared" si="4"/>
        <v>3449</v>
      </c>
      <c r="Q9" s="33">
        <f t="shared" si="5"/>
        <v>5230.625</v>
      </c>
    </row>
    <row r="10" spans="1:17" x14ac:dyDescent="0.3">
      <c r="A10" s="2" t="s">
        <v>9</v>
      </c>
      <c r="B10" s="31">
        <v>1999</v>
      </c>
      <c r="C10" s="32">
        <v>3500</v>
      </c>
      <c r="D10" s="33">
        <f t="shared" si="0"/>
        <v>2749.5</v>
      </c>
      <c r="E10" s="32" t="s">
        <v>5</v>
      </c>
      <c r="F10" s="32" t="s">
        <v>5</v>
      </c>
      <c r="G10" s="33" t="str">
        <f t="shared" si="1"/>
        <v>N/A</v>
      </c>
      <c r="H10" s="32">
        <v>1999</v>
      </c>
      <c r="I10" s="32">
        <v>3500</v>
      </c>
      <c r="J10" s="33">
        <f t="shared" si="2"/>
        <v>2749.5</v>
      </c>
      <c r="K10" s="32">
        <v>18000</v>
      </c>
      <c r="L10" s="32">
        <v>48500</v>
      </c>
      <c r="M10" s="33">
        <f t="shared" si="3"/>
        <v>33250</v>
      </c>
      <c r="N10" s="32">
        <v>3000</v>
      </c>
      <c r="O10" s="32" t="s">
        <v>5</v>
      </c>
      <c r="P10" s="33">
        <f t="shared" si="4"/>
        <v>3000</v>
      </c>
      <c r="Q10" s="33">
        <f t="shared" si="5"/>
        <v>10437.25</v>
      </c>
    </row>
    <row r="11" spans="1:17" x14ac:dyDescent="0.3">
      <c r="A11" s="57" t="s">
        <v>19</v>
      </c>
      <c r="B11" s="43">
        <f>AVERAGE(B3:B10)</f>
        <v>3097.4071428571428</v>
      </c>
      <c r="C11" s="45">
        <f t="shared" ref="C11:Q11" si="6">AVERAGE(C3:C10)</f>
        <v>14167.984285714285</v>
      </c>
      <c r="D11" s="45">
        <f t="shared" si="6"/>
        <v>8632.6957142857136</v>
      </c>
      <c r="E11" s="45">
        <f t="shared" si="6"/>
        <v>4748.2299999999996</v>
      </c>
      <c r="F11" s="45">
        <f t="shared" si="6"/>
        <v>4697.7700000000004</v>
      </c>
      <c r="G11" s="45">
        <f t="shared" si="6"/>
        <v>5273.2049999999999</v>
      </c>
      <c r="H11" s="45">
        <f t="shared" si="6"/>
        <v>1780.52</v>
      </c>
      <c r="I11" s="45">
        <f t="shared" si="6"/>
        <v>5833.2</v>
      </c>
      <c r="J11" s="45">
        <f t="shared" si="6"/>
        <v>3806.86</v>
      </c>
      <c r="K11" s="45">
        <f t="shared" si="6"/>
        <v>24596.2</v>
      </c>
      <c r="L11" s="45">
        <f t="shared" si="6"/>
        <v>61899.666666666664</v>
      </c>
      <c r="M11" s="45">
        <f t="shared" si="6"/>
        <v>32307.8</v>
      </c>
      <c r="N11" s="45">
        <f t="shared" si="6"/>
        <v>1745.4</v>
      </c>
      <c r="O11" s="45">
        <f t="shared" si="6"/>
        <v>6824.25</v>
      </c>
      <c r="P11" s="52">
        <f t="shared" si="6"/>
        <v>3902.4</v>
      </c>
      <c r="Q11" s="54">
        <f t="shared" si="6"/>
        <v>11589.668020833333</v>
      </c>
    </row>
    <row r="12" spans="1:17" x14ac:dyDescent="0.3">
      <c r="A12" s="57"/>
      <c r="B12" s="44"/>
      <c r="C12" s="46"/>
      <c r="D12" s="46"/>
      <c r="E12" s="46"/>
      <c r="F12" s="46"/>
      <c r="G12" s="46"/>
      <c r="H12" s="46"/>
      <c r="I12" s="46"/>
      <c r="J12" s="46"/>
      <c r="K12" s="46"/>
      <c r="L12" s="46"/>
      <c r="M12" s="46"/>
      <c r="N12" s="46"/>
      <c r="O12" s="46"/>
      <c r="P12" s="53"/>
      <c r="Q12" s="55"/>
    </row>
    <row r="13" spans="1:17" x14ac:dyDescent="0.3">
      <c r="A13" s="2" t="s">
        <v>164</v>
      </c>
      <c r="B13" s="34">
        <f>MAX(B3:B10)</f>
        <v>6099</v>
      </c>
      <c r="C13" s="35">
        <f t="shared" ref="C13:Q13" si="7">MAX(C3:C10)</f>
        <v>47499</v>
      </c>
      <c r="D13" s="35">
        <f t="shared" si="7"/>
        <v>24749</v>
      </c>
      <c r="E13" s="35">
        <f t="shared" si="7"/>
        <v>7999</v>
      </c>
      <c r="F13" s="35">
        <f t="shared" si="7"/>
        <v>7195.54</v>
      </c>
      <c r="G13" s="35">
        <f t="shared" si="7"/>
        <v>7999</v>
      </c>
      <c r="H13" s="35">
        <f t="shared" si="7"/>
        <v>4999</v>
      </c>
      <c r="I13" s="35">
        <f t="shared" si="7"/>
        <v>19499</v>
      </c>
      <c r="J13" s="35">
        <f t="shared" si="7"/>
        <v>10749</v>
      </c>
      <c r="K13" s="35">
        <f t="shared" si="7"/>
        <v>89999</v>
      </c>
      <c r="L13" s="35">
        <f t="shared" si="7"/>
        <v>129999</v>
      </c>
      <c r="M13" s="35">
        <f t="shared" si="7"/>
        <v>109999</v>
      </c>
      <c r="N13" s="35">
        <f t="shared" si="7"/>
        <v>3000</v>
      </c>
      <c r="O13" s="35">
        <f t="shared" si="7"/>
        <v>12799</v>
      </c>
      <c r="P13" s="35">
        <f t="shared" si="7"/>
        <v>7899</v>
      </c>
      <c r="Q13" s="38">
        <f t="shared" si="7"/>
        <v>44215.666666666664</v>
      </c>
    </row>
    <row r="14" spans="1:17" x14ac:dyDescent="0.3">
      <c r="A14" s="2" t="s">
        <v>165</v>
      </c>
      <c r="B14" s="34">
        <f>MIN(B3:B10)</f>
        <v>749</v>
      </c>
      <c r="C14" s="35">
        <f t="shared" ref="C14:P14" si="8">MIN(C3:C10)</f>
        <v>3395</v>
      </c>
      <c r="D14" s="35">
        <f t="shared" si="8"/>
        <v>2733.5</v>
      </c>
      <c r="E14" s="35">
        <f t="shared" si="8"/>
        <v>569</v>
      </c>
      <c r="F14" s="35">
        <f t="shared" si="8"/>
        <v>2200</v>
      </c>
      <c r="G14" s="35">
        <f t="shared" si="8"/>
        <v>1384.5</v>
      </c>
      <c r="H14" s="35">
        <f t="shared" si="8"/>
        <v>365</v>
      </c>
      <c r="I14" s="35">
        <f t="shared" si="8"/>
        <v>1190</v>
      </c>
      <c r="J14" s="35">
        <f t="shared" si="8"/>
        <v>777.5</v>
      </c>
      <c r="K14" s="35">
        <f t="shared" si="8"/>
        <v>584</v>
      </c>
      <c r="L14" s="35">
        <f t="shared" si="8"/>
        <v>7200</v>
      </c>
      <c r="M14" s="35">
        <f t="shared" si="8"/>
        <v>899</v>
      </c>
      <c r="N14" s="35">
        <f t="shared" si="8"/>
        <v>130</v>
      </c>
      <c r="O14" s="35">
        <f t="shared" si="8"/>
        <v>3500</v>
      </c>
      <c r="P14" s="36">
        <f t="shared" si="8"/>
        <v>1815</v>
      </c>
      <c r="Q14" s="38">
        <f>MIN(Q3:Q10)</f>
        <v>2204.8000000000002</v>
      </c>
    </row>
    <row r="15" spans="1:17" x14ac:dyDescent="0.3">
      <c r="B15" s="23"/>
      <c r="C15" s="23"/>
      <c r="D15" s="23"/>
      <c r="E15" s="23"/>
      <c r="F15" s="23"/>
      <c r="G15" s="23"/>
      <c r="H15" s="23"/>
      <c r="I15" s="23"/>
      <c r="J15" s="23"/>
      <c r="K15" s="23"/>
      <c r="L15" s="23"/>
      <c r="M15" s="23"/>
      <c r="N15" s="41" t="s">
        <v>168</v>
      </c>
      <c r="O15" s="41"/>
      <c r="P15" s="41"/>
      <c r="Q15" s="37">
        <f>Q13-Q14</f>
        <v>42010.866666666661</v>
      </c>
    </row>
    <row r="16" spans="1:17" x14ac:dyDescent="0.3">
      <c r="A16" s="2" t="s">
        <v>145</v>
      </c>
      <c r="B16" s="47" t="str">
        <f>_xlfn.XLOOKUP(MAX($D$3:$D$10),$D$3:$D$10,$A$3:$A$10,"n/a",0)</f>
        <v>Garmin</v>
      </c>
      <c r="C16" s="48"/>
      <c r="D16" s="49"/>
      <c r="E16" s="47" t="str">
        <f>_xlfn.XLOOKUP(MAX($G$3:$G$10),$G$3:$G$10,$A$3:$A$10,"n/a",0)</f>
        <v>Samsung</v>
      </c>
      <c r="F16" s="48"/>
      <c r="G16" s="49"/>
      <c r="H16" s="47" t="str">
        <f>_xlfn.XLOOKUP(MAX($J$3:$J$10),$J$3:$J$10,$A$3:$A$10,"n/a",0)</f>
        <v>Garmin</v>
      </c>
      <c r="I16" s="48"/>
      <c r="J16" s="49"/>
      <c r="K16" s="47" t="str">
        <f>_xlfn.XLOOKUP(MAX($M$3:$M$10),$M$3:$M$10,$A$3:$A$10,"n/a",0)</f>
        <v>Apple</v>
      </c>
      <c r="L16" s="48"/>
      <c r="M16" s="49"/>
      <c r="N16" s="47" t="str">
        <f>_xlfn.XLOOKUP(MAX($P$3:$P$10),$P$3:$P$10,$A$3:$A$10,"n/a",0)</f>
        <v>Apple</v>
      </c>
      <c r="O16" s="48"/>
      <c r="P16" s="49"/>
      <c r="Q16" s="3" t="str">
        <f>_xlfn.XLOOKUP(MAX($Q$3:$Q$10),$Q$3:$Q$10,$A$3:$A$10,"n/a",0)</f>
        <v>Apple</v>
      </c>
    </row>
    <row r="17" spans="1:17" x14ac:dyDescent="0.3">
      <c r="A17" s="2" t="s">
        <v>146</v>
      </c>
      <c r="B17" s="47" t="str">
        <f>_xlfn.XLOOKUP(MIN($D$3:$D$10),$D$3:$D$10,$A$3:$A$10,"n/a",0)</f>
        <v>Xiaomi</v>
      </c>
      <c r="C17" s="48"/>
      <c r="D17" s="49"/>
      <c r="E17" s="47" t="str">
        <f>_xlfn.XLOOKUP(MIN($G$3:$G$10),$G$3:$G$10,$A$3:$A$10,"n/a",0)</f>
        <v>Xiaomi</v>
      </c>
      <c r="F17" s="48"/>
      <c r="G17" s="49"/>
      <c r="H17" s="47" t="str">
        <f>_xlfn.XLOOKUP(MIN($J$3:$J$10),$J$3:$J$10,$A$3:$A$10,"n/a",0)</f>
        <v>Sony</v>
      </c>
      <c r="I17" s="48"/>
      <c r="J17" s="49"/>
      <c r="K17" s="47" t="str">
        <f>_xlfn.XLOOKUP(MIN($M$3:$M$10),$M$3:$M$10,$A$3:$A$10,"n/a",0)</f>
        <v>Samsung</v>
      </c>
      <c r="L17" s="48"/>
      <c r="M17" s="49"/>
      <c r="N17" s="47" t="str">
        <f>_xlfn.XLOOKUP(MIN($P$3:$P$10),$P$3:$P$10,$A$3:$A$10,"n/a",0)</f>
        <v>Xiaomi</v>
      </c>
      <c r="O17" s="48"/>
      <c r="P17" s="49"/>
      <c r="Q17" s="3" t="str">
        <f>_xlfn.XLOOKUP(MIN($Q$3:$Q$10),$Q$3:$Q$10,$A$3:$A$10,"n/a",0)</f>
        <v>Xiaomi</v>
      </c>
    </row>
  </sheetData>
  <mergeCells count="35">
    <mergeCell ref="A1:A2"/>
    <mergeCell ref="I11:I12"/>
    <mergeCell ref="P11:P12"/>
    <mergeCell ref="Q11:Q12"/>
    <mergeCell ref="K11:K12"/>
    <mergeCell ref="L11:L12"/>
    <mergeCell ref="M11:M12"/>
    <mergeCell ref="J11:J12"/>
    <mergeCell ref="O11:O12"/>
    <mergeCell ref="N1:P1"/>
    <mergeCell ref="Q1:Q2"/>
    <mergeCell ref="A11:A12"/>
    <mergeCell ref="E1:G1"/>
    <mergeCell ref="B1:D1"/>
    <mergeCell ref="H1:J1"/>
    <mergeCell ref="B16:D16"/>
    <mergeCell ref="B17:D17"/>
    <mergeCell ref="E16:G16"/>
    <mergeCell ref="H16:J16"/>
    <mergeCell ref="K16:M16"/>
    <mergeCell ref="N16:P16"/>
    <mergeCell ref="E17:G17"/>
    <mergeCell ref="H17:J17"/>
    <mergeCell ref="K17:M17"/>
    <mergeCell ref="N17:P17"/>
    <mergeCell ref="N15:P15"/>
    <mergeCell ref="K1:M1"/>
    <mergeCell ref="B11:B12"/>
    <mergeCell ref="C11:C12"/>
    <mergeCell ref="E11:E12"/>
    <mergeCell ref="D11:D12"/>
    <mergeCell ref="F11:F12"/>
    <mergeCell ref="G11:G12"/>
    <mergeCell ref="H11:H12"/>
    <mergeCell ref="N11:N12"/>
  </mergeCells>
  <pageMargins left="0.7" right="0.7" top="0.75" bottom="0.75" header="0.3" footer="0.3"/>
  <pageSetup orientation="portrait" horizontalDpi="4294967293" verticalDpi="0"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6E8E4-0EDA-43C5-899C-6BFA228C3D40}">
  <sheetPr codeName="Sheet2"/>
  <dimension ref="A1:M6879"/>
  <sheetViews>
    <sheetView zoomScale="80" zoomScaleNormal="80" workbookViewId="0">
      <selection activeCell="D28" sqref="D28"/>
    </sheetView>
  </sheetViews>
  <sheetFormatPr defaultRowHeight="14.4" x14ac:dyDescent="0.3"/>
  <cols>
    <col min="1" max="1" width="21.33203125" bestFit="1" customWidth="1"/>
    <col min="2" max="2" width="26.21875" bestFit="1" customWidth="1"/>
    <col min="3" max="3" width="17.44140625" bestFit="1" customWidth="1"/>
    <col min="4" max="4" width="58.6640625" customWidth="1"/>
    <col min="5" max="5" width="28.5546875" customWidth="1"/>
    <col min="6" max="6" width="21.21875" bestFit="1" customWidth="1"/>
    <col min="7" max="7" width="19.33203125" bestFit="1" customWidth="1"/>
    <col min="8" max="8" width="19.88671875" customWidth="1"/>
    <col min="11" max="11" width="11.88671875" bestFit="1" customWidth="1"/>
    <col min="13" max="13" width="9" bestFit="1" customWidth="1"/>
    <col min="14" max="14" width="11.88671875" customWidth="1"/>
  </cols>
  <sheetData>
    <row r="1" spans="1:13" x14ac:dyDescent="0.3">
      <c r="A1" s="6" t="s">
        <v>0</v>
      </c>
      <c r="B1" s="6" t="s">
        <v>20</v>
      </c>
      <c r="C1" s="6" t="s">
        <v>21</v>
      </c>
      <c r="D1" s="6" t="s">
        <v>22</v>
      </c>
      <c r="E1" s="6" t="s">
        <v>23</v>
      </c>
      <c r="F1" s="6" t="s">
        <v>28</v>
      </c>
      <c r="G1" s="6" t="s">
        <v>154</v>
      </c>
      <c r="H1" s="6" t="s">
        <v>158</v>
      </c>
      <c r="I1" s="5"/>
      <c r="J1" s="6" t="s">
        <v>155</v>
      </c>
      <c r="K1" s="6" t="s">
        <v>156</v>
      </c>
      <c r="L1" s="5"/>
      <c r="M1" s="5"/>
    </row>
    <row r="2" spans="1:13" ht="28.8" x14ac:dyDescent="0.3">
      <c r="A2" s="60" t="s">
        <v>1</v>
      </c>
      <c r="B2" s="28" t="s">
        <v>25</v>
      </c>
      <c r="C2" s="28" t="s">
        <v>26</v>
      </c>
      <c r="D2" s="40" t="s">
        <v>31</v>
      </c>
      <c r="E2" s="40" t="s">
        <v>27</v>
      </c>
      <c r="F2" s="28" t="s">
        <v>29</v>
      </c>
      <c r="G2" s="28" t="s">
        <v>78</v>
      </c>
      <c r="H2" s="58" t="str">
        <f>_xlfn.XLOOKUP(AVERAGE(VLOOKUP(G2,$J$2:$K$6,2,FALSE),VLOOKUP(G3,$J$2:$K$6,2,FALSE),VLOOKUP(G4,$J$2:$K$6,2,FALSE)),$K$2:$K$6,$J$2:$J$6,"n/a",-1)</f>
        <v>4 ★</v>
      </c>
      <c r="J2" s="7" t="s">
        <v>157</v>
      </c>
      <c r="K2" s="7">
        <v>1</v>
      </c>
    </row>
    <row r="3" spans="1:13" ht="28.8" x14ac:dyDescent="0.3">
      <c r="A3" s="61"/>
      <c r="B3" s="7" t="s">
        <v>24</v>
      </c>
      <c r="C3" s="7" t="s">
        <v>30</v>
      </c>
      <c r="D3" s="8" t="s">
        <v>32</v>
      </c>
      <c r="E3" s="7" t="s">
        <v>33</v>
      </c>
      <c r="F3" s="7" t="s">
        <v>34</v>
      </c>
      <c r="G3" s="7" t="s">
        <v>79</v>
      </c>
      <c r="H3" s="59"/>
      <c r="J3" s="7" t="s">
        <v>81</v>
      </c>
      <c r="K3" s="7">
        <v>2</v>
      </c>
    </row>
    <row r="4" spans="1:13" ht="28.8" x14ac:dyDescent="0.3">
      <c r="A4" s="61"/>
      <c r="B4" s="27" t="s">
        <v>35</v>
      </c>
      <c r="C4" s="27" t="s">
        <v>36</v>
      </c>
      <c r="D4" s="9" t="s">
        <v>37</v>
      </c>
      <c r="E4" s="27" t="s">
        <v>38</v>
      </c>
      <c r="F4" s="27" t="s">
        <v>39</v>
      </c>
      <c r="G4" s="27" t="s">
        <v>80</v>
      </c>
      <c r="H4" s="59"/>
      <c r="J4" s="7" t="s">
        <v>80</v>
      </c>
      <c r="K4" s="7">
        <v>3</v>
      </c>
    </row>
    <row r="5" spans="1:13" ht="28.8" x14ac:dyDescent="0.3">
      <c r="A5" s="62" t="s">
        <v>2</v>
      </c>
      <c r="B5" s="8" t="s">
        <v>40</v>
      </c>
      <c r="C5" s="8" t="s">
        <v>43</v>
      </c>
      <c r="D5" s="8" t="s">
        <v>46</v>
      </c>
      <c r="E5" s="8" t="s">
        <v>47</v>
      </c>
      <c r="F5" s="8" t="s">
        <v>48</v>
      </c>
      <c r="G5" s="8" t="s">
        <v>79</v>
      </c>
      <c r="H5" s="58" t="str">
        <f>_xlfn.XLOOKUP(AVERAGE(VLOOKUP(G5,$J$2:$K$6,2,FALSE),VLOOKUP(G6,$J$2:$K$6,2,FALSE),VLOOKUP(G7,$J$2:$K$6,2,FALSE)),$K$2:$K$6,$J$2:$J$6,"n/a",-1)</f>
        <v>3 ★</v>
      </c>
      <c r="J5" s="7" t="s">
        <v>79</v>
      </c>
      <c r="K5" s="7">
        <v>4</v>
      </c>
    </row>
    <row r="6" spans="1:13" ht="28.8" x14ac:dyDescent="0.3">
      <c r="A6" s="62"/>
      <c r="B6" s="8" t="s">
        <v>41</v>
      </c>
      <c r="C6" s="8" t="s">
        <v>44</v>
      </c>
      <c r="D6" s="8" t="s">
        <v>49</v>
      </c>
      <c r="E6" s="8" t="s">
        <v>50</v>
      </c>
      <c r="F6" s="8" t="s">
        <v>51</v>
      </c>
      <c r="G6" s="8" t="s">
        <v>79</v>
      </c>
      <c r="H6" s="59"/>
      <c r="J6" s="27" t="s">
        <v>78</v>
      </c>
      <c r="K6" s="27">
        <v>5</v>
      </c>
    </row>
    <row r="7" spans="1:13" x14ac:dyDescent="0.3">
      <c r="A7" s="62"/>
      <c r="B7" s="9" t="s">
        <v>42</v>
      </c>
      <c r="C7" s="9" t="s">
        <v>45</v>
      </c>
      <c r="D7" s="9" t="s">
        <v>52</v>
      </c>
      <c r="E7" s="9" t="s">
        <v>53</v>
      </c>
      <c r="F7" s="9" t="s">
        <v>54</v>
      </c>
      <c r="G7" s="9" t="s">
        <v>81</v>
      </c>
      <c r="H7" s="59"/>
    </row>
    <row r="8" spans="1:13" ht="28.8" x14ac:dyDescent="0.3">
      <c r="A8" s="61" t="s">
        <v>3</v>
      </c>
      <c r="B8" s="8" t="s">
        <v>55</v>
      </c>
      <c r="C8" s="8" t="s">
        <v>56</v>
      </c>
      <c r="D8" s="8" t="s">
        <v>57</v>
      </c>
      <c r="E8" s="8" t="s">
        <v>58</v>
      </c>
      <c r="F8" s="8" t="s">
        <v>39</v>
      </c>
      <c r="G8" s="8" t="s">
        <v>79</v>
      </c>
      <c r="H8" s="58" t="str">
        <f>_xlfn.XLOOKUP(AVERAGE(VLOOKUP(G8,$J$2:$K$6,2,FALSE),VLOOKUP(G9,$J$2:$K$6,2,FALSE),VLOOKUP(G10,$J$2:$K$6,2,FALSE)),$K$2:$K$6,$J$2:$J$6,"n/a",-1)</f>
        <v>3 ★</v>
      </c>
    </row>
    <row r="9" spans="1:13" ht="28.8" x14ac:dyDescent="0.3">
      <c r="A9" s="61"/>
      <c r="B9" s="8" t="s">
        <v>60</v>
      </c>
      <c r="C9" s="8" t="s">
        <v>62</v>
      </c>
      <c r="D9" s="8" t="s">
        <v>64</v>
      </c>
      <c r="E9" s="8" t="s">
        <v>65</v>
      </c>
      <c r="F9" s="8" t="s">
        <v>39</v>
      </c>
      <c r="G9" s="8" t="s">
        <v>80</v>
      </c>
      <c r="H9" s="59"/>
    </row>
    <row r="10" spans="1:13" x14ac:dyDescent="0.3">
      <c r="A10" s="61"/>
      <c r="B10" s="9" t="s">
        <v>61</v>
      </c>
      <c r="C10" s="9" t="s">
        <v>63</v>
      </c>
      <c r="D10" s="9" t="s">
        <v>66</v>
      </c>
      <c r="E10" s="9" t="s">
        <v>53</v>
      </c>
      <c r="F10" s="9" t="s">
        <v>39</v>
      </c>
      <c r="G10" s="9" t="s">
        <v>81</v>
      </c>
      <c r="H10" s="59"/>
    </row>
    <row r="11" spans="1:13" ht="28.8" x14ac:dyDescent="0.3">
      <c r="A11" s="61" t="s">
        <v>4</v>
      </c>
      <c r="B11" s="8" t="s">
        <v>67</v>
      </c>
      <c r="C11" s="8" t="s">
        <v>26</v>
      </c>
      <c r="D11" s="8" t="s">
        <v>72</v>
      </c>
      <c r="E11" s="8" t="s">
        <v>75</v>
      </c>
      <c r="F11" s="8" t="s">
        <v>59</v>
      </c>
      <c r="G11" s="8" t="s">
        <v>78</v>
      </c>
      <c r="H11" s="58" t="str">
        <f>_xlfn.XLOOKUP(AVERAGE(VLOOKUP(G11,$J$2:$K$6,2,FALSE),VLOOKUP(G12,$J$2:$K$6,2,FALSE),VLOOKUP(G13,$J$2:$K$6,2,FALSE)),$K$2:$K$6,$J$2:$J$6,"n/a",-1)</f>
        <v>4 ★</v>
      </c>
    </row>
    <row r="12" spans="1:13" ht="28.8" x14ac:dyDescent="0.3">
      <c r="A12" s="61"/>
      <c r="B12" s="8" t="s">
        <v>68</v>
      </c>
      <c r="C12" s="8" t="s">
        <v>71</v>
      </c>
      <c r="D12" s="8" t="s">
        <v>73</v>
      </c>
      <c r="E12" s="8" t="s">
        <v>76</v>
      </c>
      <c r="F12" s="8" t="s">
        <v>54</v>
      </c>
      <c r="G12" s="8" t="s">
        <v>79</v>
      </c>
      <c r="H12" s="59"/>
    </row>
    <row r="13" spans="1:13" x14ac:dyDescent="0.3">
      <c r="A13" s="61"/>
      <c r="B13" s="9" t="s">
        <v>69</v>
      </c>
      <c r="C13" s="9" t="s">
        <v>70</v>
      </c>
      <c r="D13" s="9" t="s">
        <v>74</v>
      </c>
      <c r="E13" s="9" t="s">
        <v>77</v>
      </c>
      <c r="F13" s="9" t="s">
        <v>54</v>
      </c>
      <c r="G13" s="9" t="s">
        <v>80</v>
      </c>
      <c r="H13" s="63"/>
    </row>
    <row r="15" spans="1:13" x14ac:dyDescent="0.3">
      <c r="A15" s="10" t="s">
        <v>154</v>
      </c>
      <c r="B15" t="s">
        <v>167</v>
      </c>
    </row>
    <row r="16" spans="1:13" x14ac:dyDescent="0.3">
      <c r="A16" t="s">
        <v>81</v>
      </c>
      <c r="B16">
        <v>2</v>
      </c>
    </row>
    <row r="17" spans="1:4" x14ac:dyDescent="0.3">
      <c r="A17" t="s">
        <v>80</v>
      </c>
      <c r="B17">
        <v>3</v>
      </c>
    </row>
    <row r="18" spans="1:4" x14ac:dyDescent="0.3">
      <c r="A18" t="s">
        <v>79</v>
      </c>
      <c r="B18">
        <v>5</v>
      </c>
    </row>
    <row r="19" spans="1:4" x14ac:dyDescent="0.3">
      <c r="A19" t="s">
        <v>78</v>
      </c>
      <c r="B19">
        <v>2</v>
      </c>
    </row>
    <row r="20" spans="1:4" x14ac:dyDescent="0.3">
      <c r="D20" s="5"/>
    </row>
    <row r="6874" spans="6:7" x14ac:dyDescent="0.3">
      <c r="F6874" s="22"/>
    </row>
    <row r="6878" spans="6:7" x14ac:dyDescent="0.3">
      <c r="F6878" s="22"/>
    </row>
    <row r="6879" spans="6:7" x14ac:dyDescent="0.3">
      <c r="G6879" s="22"/>
    </row>
  </sheetData>
  <sortState xmlns:xlrd2="http://schemas.microsoft.com/office/spreadsheetml/2017/richdata2" ref="J2:K6">
    <sortCondition ref="J2:J6"/>
  </sortState>
  <mergeCells count="8">
    <mergeCell ref="H2:H4"/>
    <mergeCell ref="A2:A4"/>
    <mergeCell ref="A5:A7"/>
    <mergeCell ref="A8:A10"/>
    <mergeCell ref="A11:A13"/>
    <mergeCell ref="H5:H7"/>
    <mergeCell ref="H8:H10"/>
    <mergeCell ref="H11:H13"/>
  </mergeCells>
  <pageMargins left="0.7" right="0.7" top="0.75" bottom="0.75" header="0.3" footer="0.3"/>
  <pageSetup paperSize="9" orientation="portrait" horizontalDpi="4294967293" verticalDpi="0" r:id="rId2"/>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F42E7-E151-474A-8C43-66970CAE79FD}">
  <sheetPr codeName="Sheet3"/>
  <dimension ref="A1:T60"/>
  <sheetViews>
    <sheetView tabSelected="1" topLeftCell="A31" zoomScale="90" zoomScaleNormal="90" workbookViewId="0">
      <selection activeCell="V27" sqref="V27"/>
    </sheetView>
  </sheetViews>
  <sheetFormatPr defaultRowHeight="14.4" x14ac:dyDescent="0.3"/>
  <cols>
    <col min="1" max="1" width="14.44140625" bestFit="1" customWidth="1"/>
    <col min="2" max="2" width="41" bestFit="1" customWidth="1"/>
    <col min="3" max="3" width="29.88671875" bestFit="1" customWidth="1"/>
    <col min="4" max="4" width="34.6640625" bestFit="1" customWidth="1"/>
    <col min="5" max="5" width="11.109375" bestFit="1" customWidth="1"/>
    <col min="6" max="6" width="26.33203125" bestFit="1" customWidth="1"/>
    <col min="7" max="8" width="16.33203125" bestFit="1" customWidth="1"/>
    <col min="9" max="9" width="19.5546875" bestFit="1" customWidth="1"/>
    <col min="10" max="10" width="17.6640625" bestFit="1" customWidth="1"/>
    <col min="11" max="11" width="16.77734375" bestFit="1" customWidth="1"/>
    <col min="12" max="15" width="16.33203125" bestFit="1" customWidth="1"/>
    <col min="16" max="16" width="17.44140625" bestFit="1" customWidth="1"/>
    <col min="17" max="17" width="25.44140625" customWidth="1"/>
    <col min="18" max="18" width="62.109375" customWidth="1"/>
    <col min="19" max="19" width="17.77734375" bestFit="1" customWidth="1"/>
    <col min="20" max="20" width="28.33203125" bestFit="1" customWidth="1"/>
  </cols>
  <sheetData>
    <row r="1" spans="1:20" x14ac:dyDescent="0.3">
      <c r="A1" t="s">
        <v>82</v>
      </c>
      <c r="B1" t="s">
        <v>83</v>
      </c>
      <c r="C1" t="s">
        <v>84</v>
      </c>
      <c r="D1" t="s">
        <v>85</v>
      </c>
      <c r="E1" t="s">
        <v>86</v>
      </c>
      <c r="F1" t="s">
        <v>87</v>
      </c>
      <c r="G1" t="s">
        <v>119</v>
      </c>
      <c r="H1" t="s">
        <v>120</v>
      </c>
      <c r="I1" t="s">
        <v>121</v>
      </c>
      <c r="J1" t="s">
        <v>122</v>
      </c>
      <c r="K1" t="s">
        <v>123</v>
      </c>
      <c r="L1" t="s">
        <v>124</v>
      </c>
      <c r="M1" t="s">
        <v>125</v>
      </c>
      <c r="N1" t="s">
        <v>126</v>
      </c>
      <c r="O1" t="s">
        <v>127</v>
      </c>
      <c r="P1" t="s">
        <v>128</v>
      </c>
      <c r="Q1" t="s">
        <v>129</v>
      </c>
      <c r="R1" t="s">
        <v>130</v>
      </c>
      <c r="S1" t="s">
        <v>131</v>
      </c>
      <c r="T1" t="s">
        <v>132</v>
      </c>
    </row>
    <row r="2" spans="1:20" x14ac:dyDescent="0.3">
      <c r="A2" s="11">
        <v>1</v>
      </c>
      <c r="B2" s="12">
        <v>45762.966354166703</v>
      </c>
      <c r="C2" s="12">
        <v>45762.967245370397</v>
      </c>
      <c r="D2" s="11" t="s">
        <v>88</v>
      </c>
      <c r="E2" s="11"/>
      <c r="F2" s="12"/>
      <c r="G2" s="11" t="s">
        <v>89</v>
      </c>
      <c r="H2" s="11" t="s">
        <v>90</v>
      </c>
      <c r="I2" s="11" t="s">
        <v>89</v>
      </c>
      <c r="J2" s="11" t="s">
        <v>90</v>
      </c>
      <c r="K2" s="11" t="s">
        <v>91</v>
      </c>
      <c r="L2" s="11" t="s">
        <v>89</v>
      </c>
      <c r="M2" s="11" t="s">
        <v>89</v>
      </c>
      <c r="N2" s="11" t="s">
        <v>90</v>
      </c>
      <c r="O2" s="11" t="s">
        <v>90</v>
      </c>
      <c r="P2" s="11" t="s">
        <v>89</v>
      </c>
      <c r="Q2" s="11" t="s">
        <v>92</v>
      </c>
      <c r="R2" s="11" t="s">
        <v>93</v>
      </c>
      <c r="S2" s="11" t="s">
        <v>94</v>
      </c>
      <c r="T2" s="11" t="s">
        <v>95</v>
      </c>
    </row>
    <row r="3" spans="1:20" x14ac:dyDescent="0.3">
      <c r="A3" s="11">
        <v>2</v>
      </c>
      <c r="B3" s="12">
        <v>45762.968194444402</v>
      </c>
      <c r="C3" s="12">
        <v>45762.9698726852</v>
      </c>
      <c r="D3" s="11" t="s">
        <v>88</v>
      </c>
      <c r="E3" s="11"/>
      <c r="F3" s="12"/>
      <c r="G3" s="11" t="s">
        <v>90</v>
      </c>
      <c r="H3" s="11" t="s">
        <v>90</v>
      </c>
      <c r="I3" s="11" t="s">
        <v>90</v>
      </c>
      <c r="J3" s="11" t="s">
        <v>90</v>
      </c>
      <c r="K3" s="11" t="s">
        <v>90</v>
      </c>
      <c r="L3" s="11" t="s">
        <v>90</v>
      </c>
      <c r="M3" s="11" t="s">
        <v>90</v>
      </c>
      <c r="N3" s="11" t="s">
        <v>90</v>
      </c>
      <c r="O3" s="11" t="s">
        <v>90</v>
      </c>
      <c r="P3" s="11" t="s">
        <v>90</v>
      </c>
      <c r="Q3" s="11" t="s">
        <v>92</v>
      </c>
      <c r="R3" s="11" t="s">
        <v>96</v>
      </c>
      <c r="S3" s="11" t="s">
        <v>97</v>
      </c>
      <c r="T3" s="11" t="s">
        <v>95</v>
      </c>
    </row>
    <row r="4" spans="1:20" x14ac:dyDescent="0.3">
      <c r="A4" s="11">
        <v>3</v>
      </c>
      <c r="B4" s="12">
        <v>45763.0762384259</v>
      </c>
      <c r="C4" s="12">
        <v>45763.077824074098</v>
      </c>
      <c r="D4" s="11" t="s">
        <v>88</v>
      </c>
      <c r="E4" s="11"/>
      <c r="F4" s="12"/>
      <c r="G4" s="11" t="s">
        <v>90</v>
      </c>
      <c r="H4" s="11" t="s">
        <v>90</v>
      </c>
      <c r="I4" s="11" t="s">
        <v>90</v>
      </c>
      <c r="J4" s="11" t="s">
        <v>90</v>
      </c>
      <c r="K4" s="11" t="s">
        <v>91</v>
      </c>
      <c r="L4" s="11" t="s">
        <v>90</v>
      </c>
      <c r="M4" s="11" t="s">
        <v>91</v>
      </c>
      <c r="N4" s="11" t="s">
        <v>90</v>
      </c>
      <c r="O4" s="11" t="s">
        <v>90</v>
      </c>
      <c r="P4" s="11" t="s">
        <v>89</v>
      </c>
      <c r="Q4" s="11" t="s">
        <v>92</v>
      </c>
      <c r="R4" s="11" t="s">
        <v>98</v>
      </c>
      <c r="S4" s="11" t="s">
        <v>99</v>
      </c>
      <c r="T4" s="11" t="s">
        <v>100</v>
      </c>
    </row>
    <row r="5" spans="1:20" x14ac:dyDescent="0.3">
      <c r="A5" s="11">
        <v>4</v>
      </c>
      <c r="B5" s="12">
        <v>45763.3821412037</v>
      </c>
      <c r="C5" s="12">
        <v>45763.383807870399</v>
      </c>
      <c r="D5" s="11" t="s">
        <v>88</v>
      </c>
      <c r="E5" s="11"/>
      <c r="F5" s="12"/>
      <c r="G5" s="11" t="s">
        <v>90</v>
      </c>
      <c r="H5" s="11" t="s">
        <v>89</v>
      </c>
      <c r="I5" s="11" t="s">
        <v>91</v>
      </c>
      <c r="J5" s="11" t="s">
        <v>89</v>
      </c>
      <c r="K5" s="11" t="s">
        <v>101</v>
      </c>
      <c r="L5" s="11" t="s">
        <v>89</v>
      </c>
      <c r="M5" s="11" t="s">
        <v>89</v>
      </c>
      <c r="N5" s="11" t="s">
        <v>89</v>
      </c>
      <c r="O5" s="11" t="s">
        <v>89</v>
      </c>
      <c r="P5" s="11" t="s">
        <v>101</v>
      </c>
      <c r="Q5" s="11" t="s">
        <v>92</v>
      </c>
      <c r="R5" s="11" t="s">
        <v>102</v>
      </c>
      <c r="S5" s="11" t="s">
        <v>94</v>
      </c>
      <c r="T5" s="11" t="s">
        <v>100</v>
      </c>
    </row>
    <row r="6" spans="1:20" x14ac:dyDescent="0.3">
      <c r="A6" s="11">
        <v>5</v>
      </c>
      <c r="B6" s="12">
        <v>45763.402280092603</v>
      </c>
      <c r="C6" s="12">
        <v>45763.408125000002</v>
      </c>
      <c r="D6" s="11" t="s">
        <v>88</v>
      </c>
      <c r="E6" s="11"/>
      <c r="F6" s="12"/>
      <c r="G6" s="11" t="s">
        <v>101</v>
      </c>
      <c r="H6" s="11" t="s">
        <v>101</v>
      </c>
      <c r="I6" s="11" t="s">
        <v>91</v>
      </c>
      <c r="J6" s="11" t="s">
        <v>101</v>
      </c>
      <c r="K6" s="11" t="s">
        <v>101</v>
      </c>
      <c r="L6" s="11" t="s">
        <v>101</v>
      </c>
      <c r="M6" s="11" t="s">
        <v>89</v>
      </c>
      <c r="N6" s="11" t="s">
        <v>101</v>
      </c>
      <c r="O6" s="11" t="s">
        <v>101</v>
      </c>
      <c r="P6" s="11" t="s">
        <v>101</v>
      </c>
      <c r="Q6" s="11" t="s">
        <v>92</v>
      </c>
      <c r="R6" s="11" t="s">
        <v>103</v>
      </c>
      <c r="S6" s="11" t="s">
        <v>99</v>
      </c>
      <c r="T6" s="11" t="s">
        <v>100</v>
      </c>
    </row>
    <row r="7" spans="1:20" x14ac:dyDescent="0.3">
      <c r="A7" s="11">
        <v>6</v>
      </c>
      <c r="B7" s="12">
        <v>45763.428275462997</v>
      </c>
      <c r="C7" s="12">
        <v>45763.429155092599</v>
      </c>
      <c r="D7" s="11" t="s">
        <v>88</v>
      </c>
      <c r="E7" s="11"/>
      <c r="F7" s="12"/>
      <c r="G7" s="11" t="s">
        <v>101</v>
      </c>
      <c r="H7" s="11" t="s">
        <v>101</v>
      </c>
      <c r="I7" s="11" t="s">
        <v>90</v>
      </c>
      <c r="J7" s="11" t="s">
        <v>101</v>
      </c>
      <c r="K7" s="11" t="s">
        <v>101</v>
      </c>
      <c r="L7" s="11" t="s">
        <v>101</v>
      </c>
      <c r="M7" s="11" t="s">
        <v>101</v>
      </c>
      <c r="N7" s="11" t="s">
        <v>101</v>
      </c>
      <c r="O7" s="11" t="s">
        <v>101</v>
      </c>
      <c r="P7" s="11" t="s">
        <v>101</v>
      </c>
      <c r="Q7" s="11" t="s">
        <v>104</v>
      </c>
      <c r="R7" s="11" t="s">
        <v>105</v>
      </c>
      <c r="S7" s="11" t="s">
        <v>94</v>
      </c>
      <c r="T7" s="11" t="s">
        <v>100</v>
      </c>
    </row>
    <row r="8" spans="1:20" ht="57.6" x14ac:dyDescent="0.3">
      <c r="A8" s="11">
        <v>7</v>
      </c>
      <c r="B8" s="12">
        <v>45763.447372685201</v>
      </c>
      <c r="C8" s="12">
        <v>45763.447881944398</v>
      </c>
      <c r="D8" s="11" t="s">
        <v>88</v>
      </c>
      <c r="E8" s="11"/>
      <c r="F8" s="12"/>
      <c r="G8" s="11" t="s">
        <v>101</v>
      </c>
      <c r="H8" s="11" t="s">
        <v>89</v>
      </c>
      <c r="I8" s="11" t="s">
        <v>101</v>
      </c>
      <c r="J8" s="11" t="s">
        <v>89</v>
      </c>
      <c r="K8" s="11" t="s">
        <v>89</v>
      </c>
      <c r="L8" s="11" t="s">
        <v>89</v>
      </c>
      <c r="M8" s="11" t="s">
        <v>101</v>
      </c>
      <c r="N8" s="11" t="s">
        <v>89</v>
      </c>
      <c r="O8" s="11" t="s">
        <v>90</v>
      </c>
      <c r="P8" s="11" t="s">
        <v>101</v>
      </c>
      <c r="Q8" s="11" t="s">
        <v>104</v>
      </c>
      <c r="R8" s="11" t="s">
        <v>106</v>
      </c>
      <c r="S8" s="11" t="s">
        <v>94</v>
      </c>
      <c r="T8" s="11" t="s">
        <v>100</v>
      </c>
    </row>
    <row r="9" spans="1:20" ht="43.2" x14ac:dyDescent="0.3">
      <c r="A9" s="11">
        <v>8</v>
      </c>
      <c r="B9" s="12">
        <v>45763.447905092602</v>
      </c>
      <c r="C9" s="12">
        <v>45763.448981481502</v>
      </c>
      <c r="D9" s="11" t="s">
        <v>88</v>
      </c>
      <c r="E9" s="11"/>
      <c r="F9" s="12"/>
      <c r="G9" s="11" t="s">
        <v>91</v>
      </c>
      <c r="H9" s="11" t="s">
        <v>91</v>
      </c>
      <c r="I9" s="11" t="s">
        <v>90</v>
      </c>
      <c r="J9" s="11" t="s">
        <v>91</v>
      </c>
      <c r="K9" s="11" t="s">
        <v>91</v>
      </c>
      <c r="L9" s="11" t="s">
        <v>107</v>
      </c>
      <c r="M9" s="11" t="s">
        <v>91</v>
      </c>
      <c r="N9" s="11" t="s">
        <v>91</v>
      </c>
      <c r="O9" s="11" t="s">
        <v>107</v>
      </c>
      <c r="P9" s="11" t="s">
        <v>91</v>
      </c>
      <c r="Q9" s="11" t="s">
        <v>104</v>
      </c>
      <c r="R9" s="11" t="s">
        <v>108</v>
      </c>
      <c r="S9" s="11" t="s">
        <v>99</v>
      </c>
      <c r="T9" s="11" t="s">
        <v>95</v>
      </c>
    </row>
    <row r="10" spans="1:20" ht="43.2" x14ac:dyDescent="0.3">
      <c r="A10" s="11">
        <v>9</v>
      </c>
      <c r="B10" s="12">
        <v>45763.449004629598</v>
      </c>
      <c r="C10" s="12">
        <v>45763.449594907397</v>
      </c>
      <c r="D10" s="11" t="s">
        <v>88</v>
      </c>
      <c r="E10" s="11"/>
      <c r="F10" s="12"/>
      <c r="G10" s="11" t="s">
        <v>101</v>
      </c>
      <c r="H10" s="11" t="s">
        <v>101</v>
      </c>
      <c r="I10" s="11" t="s">
        <v>101</v>
      </c>
      <c r="J10" s="11" t="s">
        <v>101</v>
      </c>
      <c r="K10" s="11" t="s">
        <v>101</v>
      </c>
      <c r="L10" s="11" t="s">
        <v>101</v>
      </c>
      <c r="M10" s="11" t="s">
        <v>101</v>
      </c>
      <c r="N10" s="11" t="s">
        <v>101</v>
      </c>
      <c r="O10" s="11" t="s">
        <v>89</v>
      </c>
      <c r="P10" s="11" t="s">
        <v>101</v>
      </c>
      <c r="Q10" s="11" t="s">
        <v>104</v>
      </c>
      <c r="R10" s="11" t="s">
        <v>109</v>
      </c>
      <c r="S10" s="11" t="s">
        <v>99</v>
      </c>
      <c r="T10" s="11" t="s">
        <v>110</v>
      </c>
    </row>
    <row r="11" spans="1:20" ht="43.2" x14ac:dyDescent="0.3">
      <c r="A11" s="11">
        <v>10</v>
      </c>
      <c r="B11" s="12">
        <v>45763.449618055602</v>
      </c>
      <c r="C11" s="12">
        <v>45763.451168981497</v>
      </c>
      <c r="D11" s="11" t="s">
        <v>88</v>
      </c>
      <c r="E11" s="11"/>
      <c r="F11" s="12"/>
      <c r="G11" s="11" t="s">
        <v>90</v>
      </c>
      <c r="H11" s="11" t="s">
        <v>91</v>
      </c>
      <c r="I11" s="11" t="s">
        <v>89</v>
      </c>
      <c r="J11" s="11" t="s">
        <v>90</v>
      </c>
      <c r="K11" s="11" t="s">
        <v>91</v>
      </c>
      <c r="L11" s="11" t="s">
        <v>91</v>
      </c>
      <c r="M11" s="11" t="s">
        <v>90</v>
      </c>
      <c r="N11" s="11" t="s">
        <v>91</v>
      </c>
      <c r="O11" s="11" t="s">
        <v>90</v>
      </c>
      <c r="P11" s="11" t="s">
        <v>90</v>
      </c>
      <c r="Q11" s="11" t="s">
        <v>104</v>
      </c>
      <c r="R11" s="11" t="s">
        <v>111</v>
      </c>
      <c r="S11" s="11" t="s">
        <v>112</v>
      </c>
      <c r="T11" s="11" t="s">
        <v>95</v>
      </c>
    </row>
    <row r="12" spans="1:20" ht="57.6" x14ac:dyDescent="0.3">
      <c r="A12" s="11">
        <v>11</v>
      </c>
      <c r="B12" s="12">
        <v>45763.451180555603</v>
      </c>
      <c r="C12" s="12">
        <v>45763.451712962997</v>
      </c>
      <c r="D12" s="11" t="s">
        <v>88</v>
      </c>
      <c r="E12" s="11"/>
      <c r="F12" s="12"/>
      <c r="G12" s="11" t="s">
        <v>89</v>
      </c>
      <c r="H12" s="11" t="s">
        <v>89</v>
      </c>
      <c r="I12" s="11" t="s">
        <v>90</v>
      </c>
      <c r="J12" s="11" t="s">
        <v>90</v>
      </c>
      <c r="K12" s="11" t="s">
        <v>89</v>
      </c>
      <c r="L12" s="11" t="s">
        <v>90</v>
      </c>
      <c r="M12" s="11" t="s">
        <v>89</v>
      </c>
      <c r="N12" s="11" t="s">
        <v>90</v>
      </c>
      <c r="O12" s="11" t="s">
        <v>91</v>
      </c>
      <c r="P12" s="11" t="s">
        <v>89</v>
      </c>
      <c r="Q12" s="11" t="s">
        <v>92</v>
      </c>
      <c r="R12" s="11" t="s">
        <v>113</v>
      </c>
      <c r="S12" s="11" t="s">
        <v>94</v>
      </c>
      <c r="T12" s="11" t="s">
        <v>100</v>
      </c>
    </row>
    <row r="13" spans="1:20" ht="43.2" x14ac:dyDescent="0.3">
      <c r="A13" s="11">
        <v>12</v>
      </c>
      <c r="B13" s="12">
        <v>45763.453136574099</v>
      </c>
      <c r="C13" s="12">
        <v>45763.4543402778</v>
      </c>
      <c r="D13" s="11" t="s">
        <v>88</v>
      </c>
      <c r="E13" s="11"/>
      <c r="F13" s="12"/>
      <c r="G13" s="11" t="s">
        <v>90</v>
      </c>
      <c r="H13" s="11" t="s">
        <v>91</v>
      </c>
      <c r="I13" s="11" t="s">
        <v>90</v>
      </c>
      <c r="J13" s="11" t="s">
        <v>91</v>
      </c>
      <c r="K13" s="11" t="s">
        <v>91</v>
      </c>
      <c r="L13" s="11" t="s">
        <v>91</v>
      </c>
      <c r="M13" s="11" t="s">
        <v>89</v>
      </c>
      <c r="N13" s="11" t="s">
        <v>91</v>
      </c>
      <c r="O13" s="11" t="s">
        <v>91</v>
      </c>
      <c r="P13" s="11" t="s">
        <v>90</v>
      </c>
      <c r="Q13" s="11" t="s">
        <v>92</v>
      </c>
      <c r="R13" s="11" t="s">
        <v>114</v>
      </c>
      <c r="S13" s="11" t="s">
        <v>115</v>
      </c>
      <c r="T13" s="11" t="s">
        <v>95</v>
      </c>
    </row>
    <row r="14" spans="1:20" ht="28.8" x14ac:dyDescent="0.3">
      <c r="A14" s="11">
        <v>13</v>
      </c>
      <c r="B14" s="12">
        <v>45763.456064814804</v>
      </c>
      <c r="C14" s="12">
        <v>45763.4578819444</v>
      </c>
      <c r="D14" s="11" t="s">
        <v>88</v>
      </c>
      <c r="E14" s="11"/>
      <c r="F14" s="12"/>
      <c r="G14" s="11" t="s">
        <v>89</v>
      </c>
      <c r="H14" s="11" t="s">
        <v>89</v>
      </c>
      <c r="I14" s="11" t="s">
        <v>101</v>
      </c>
      <c r="J14" s="11" t="s">
        <v>89</v>
      </c>
      <c r="K14" s="11" t="s">
        <v>89</v>
      </c>
      <c r="L14" s="11" t="s">
        <v>89</v>
      </c>
      <c r="M14" s="11" t="s">
        <v>101</v>
      </c>
      <c r="N14" s="11" t="s">
        <v>89</v>
      </c>
      <c r="O14" s="11" t="s">
        <v>90</v>
      </c>
      <c r="P14" s="11" t="s">
        <v>89</v>
      </c>
      <c r="Q14" s="11" t="s">
        <v>104</v>
      </c>
      <c r="R14" s="11" t="s">
        <v>116</v>
      </c>
      <c r="S14" s="11" t="s">
        <v>94</v>
      </c>
      <c r="T14" s="11" t="s">
        <v>100</v>
      </c>
    </row>
    <row r="15" spans="1:20" ht="28.8" x14ac:dyDescent="0.3">
      <c r="A15" s="11">
        <v>14</v>
      </c>
      <c r="B15" s="12">
        <v>45763.459884259297</v>
      </c>
      <c r="C15" s="12">
        <v>45763.4604861111</v>
      </c>
      <c r="D15" s="11" t="s">
        <v>88</v>
      </c>
      <c r="E15" s="11"/>
      <c r="F15" s="12"/>
      <c r="G15" s="11" t="s">
        <v>101</v>
      </c>
      <c r="H15" s="11" t="s">
        <v>101</v>
      </c>
      <c r="I15" s="11" t="s">
        <v>89</v>
      </c>
      <c r="J15" s="11" t="s">
        <v>101</v>
      </c>
      <c r="K15" s="11" t="s">
        <v>89</v>
      </c>
      <c r="L15" s="11" t="s">
        <v>101</v>
      </c>
      <c r="M15" s="11" t="s">
        <v>101</v>
      </c>
      <c r="N15" s="11" t="s">
        <v>89</v>
      </c>
      <c r="O15" s="11" t="s">
        <v>90</v>
      </c>
      <c r="P15" s="11" t="s">
        <v>101</v>
      </c>
      <c r="Q15" s="11" t="s">
        <v>92</v>
      </c>
      <c r="R15" s="11" t="s">
        <v>117</v>
      </c>
      <c r="S15" s="11" t="s">
        <v>99</v>
      </c>
      <c r="T15" s="11" t="s">
        <v>110</v>
      </c>
    </row>
    <row r="17" spans="1:20" x14ac:dyDescent="0.3">
      <c r="F17" s="64" t="s">
        <v>118</v>
      </c>
      <c r="G17" s="64"/>
      <c r="H17" s="64"/>
      <c r="I17" s="64"/>
      <c r="J17" s="64"/>
      <c r="K17" s="64"/>
      <c r="L17" s="64"/>
      <c r="M17" s="64"/>
      <c r="N17" s="64"/>
      <c r="O17" s="64"/>
      <c r="P17" s="64"/>
      <c r="Q17" s="64"/>
      <c r="R17" s="64"/>
      <c r="S17" s="64"/>
      <c r="T17" s="64"/>
    </row>
    <row r="18" spans="1:20" x14ac:dyDescent="0.3">
      <c r="A18" s="14" t="s">
        <v>82</v>
      </c>
      <c r="B18" s="13" t="s">
        <v>83</v>
      </c>
      <c r="C18" s="13" t="s">
        <v>84</v>
      </c>
      <c r="D18" s="13" t="s">
        <v>85</v>
      </c>
      <c r="E18" s="13" t="s">
        <v>86</v>
      </c>
      <c r="F18" s="13" t="s">
        <v>87</v>
      </c>
      <c r="G18" s="13" t="s">
        <v>119</v>
      </c>
      <c r="H18" s="13" t="s">
        <v>120</v>
      </c>
      <c r="I18" s="13" t="s">
        <v>121</v>
      </c>
      <c r="J18" s="13" t="s">
        <v>122</v>
      </c>
      <c r="K18" s="13" t="s">
        <v>123</v>
      </c>
      <c r="L18" s="13" t="s">
        <v>124</v>
      </c>
      <c r="M18" s="13" t="s">
        <v>125</v>
      </c>
      <c r="N18" s="13" t="s">
        <v>126</v>
      </c>
      <c r="O18" s="13" t="s">
        <v>127</v>
      </c>
      <c r="P18" s="13" t="s">
        <v>128</v>
      </c>
      <c r="Q18" s="13" t="s">
        <v>129</v>
      </c>
      <c r="R18" s="13" t="s">
        <v>130</v>
      </c>
      <c r="S18" s="13" t="s">
        <v>131</v>
      </c>
      <c r="T18" s="15" t="s">
        <v>132</v>
      </c>
    </row>
    <row r="19" spans="1:20" x14ac:dyDescent="0.3">
      <c r="A19" s="20">
        <v>1</v>
      </c>
      <c r="B19" s="16">
        <v>45762.966354166703</v>
      </c>
      <c r="C19" s="16">
        <v>45762.967245370397</v>
      </c>
      <c r="D19" s="17" t="s">
        <v>88</v>
      </c>
      <c r="E19" s="17"/>
      <c r="F19" s="16"/>
      <c r="G19">
        <f>_xlfn.XLOOKUP(G2,$B$37:$B$41,$A$37:$A$41,"n/a",0)</f>
        <v>4</v>
      </c>
      <c r="H19">
        <f t="shared" ref="H19:P19" si="0">_xlfn.XLOOKUP(H2,$B$37:$B$41,$A$37:$A$41,"n/a",0)</f>
        <v>3</v>
      </c>
      <c r="I19">
        <f t="shared" si="0"/>
        <v>4</v>
      </c>
      <c r="J19">
        <f t="shared" si="0"/>
        <v>3</v>
      </c>
      <c r="K19">
        <f t="shared" si="0"/>
        <v>2</v>
      </c>
      <c r="L19">
        <f t="shared" si="0"/>
        <v>4</v>
      </c>
      <c r="M19">
        <f t="shared" si="0"/>
        <v>4</v>
      </c>
      <c r="N19">
        <f t="shared" si="0"/>
        <v>3</v>
      </c>
      <c r="O19">
        <f t="shared" si="0"/>
        <v>3</v>
      </c>
      <c r="P19">
        <f t="shared" si="0"/>
        <v>4</v>
      </c>
      <c r="Q19">
        <f t="shared" ref="Q19:Q32" si="1">IF(Q2 = "Yes", 1, 0)</f>
        <v>0</v>
      </c>
      <c r="S19">
        <f>_xlfn.XLOOKUP(S2,$C$37:$C$41,$A$37:$A$41,"n/a",0)</f>
        <v>3</v>
      </c>
      <c r="T19">
        <f>_xlfn.XLOOKUP(T2,$D$37:$D$41,$A$37:$A$41,"n/a",0)</f>
        <v>3</v>
      </c>
    </row>
    <row r="20" spans="1:20" x14ac:dyDescent="0.3">
      <c r="A20" s="21">
        <v>2</v>
      </c>
      <c r="B20" s="18">
        <v>45762.968194444402</v>
      </c>
      <c r="C20" s="18">
        <v>45762.9698726852</v>
      </c>
      <c r="D20" s="19" t="s">
        <v>88</v>
      </c>
      <c r="E20" s="19"/>
      <c r="F20" s="18"/>
      <c r="G20">
        <f t="shared" ref="G20:P32" si="2">_xlfn.XLOOKUP(G3,$B$37:$B$41,$A$37:$A$41,"n/a",0)</f>
        <v>3</v>
      </c>
      <c r="H20">
        <f t="shared" si="2"/>
        <v>3</v>
      </c>
      <c r="I20">
        <f t="shared" si="2"/>
        <v>3</v>
      </c>
      <c r="J20">
        <f t="shared" si="2"/>
        <v>3</v>
      </c>
      <c r="K20">
        <f t="shared" si="2"/>
        <v>3</v>
      </c>
      <c r="L20">
        <f t="shared" si="2"/>
        <v>3</v>
      </c>
      <c r="M20">
        <f t="shared" si="2"/>
        <v>3</v>
      </c>
      <c r="N20">
        <f t="shared" si="2"/>
        <v>3</v>
      </c>
      <c r="O20">
        <f t="shared" si="2"/>
        <v>3</v>
      </c>
      <c r="P20">
        <f t="shared" si="2"/>
        <v>3</v>
      </c>
      <c r="Q20">
        <f t="shared" si="1"/>
        <v>0</v>
      </c>
      <c r="S20">
        <f t="shared" ref="S20:S32" si="3">_xlfn.XLOOKUP(S3,$C$37:$C$41,$A$37:$A$41,"n/a",0)</f>
        <v>5</v>
      </c>
      <c r="T20">
        <f t="shared" ref="T20:T32" si="4">_xlfn.XLOOKUP(T3,$D$37:$D$41,$A$37:$A$41,"n/a",0)</f>
        <v>3</v>
      </c>
    </row>
    <row r="21" spans="1:20" x14ac:dyDescent="0.3">
      <c r="A21" s="20">
        <v>3</v>
      </c>
      <c r="B21" s="16">
        <v>45763.0762384259</v>
      </c>
      <c r="C21" s="16">
        <v>45763.077824074098</v>
      </c>
      <c r="D21" s="17" t="s">
        <v>88</v>
      </c>
      <c r="E21" s="17"/>
      <c r="F21" s="16"/>
      <c r="G21">
        <f t="shared" si="2"/>
        <v>3</v>
      </c>
      <c r="H21">
        <f t="shared" si="2"/>
        <v>3</v>
      </c>
      <c r="I21">
        <f t="shared" si="2"/>
        <v>3</v>
      </c>
      <c r="J21">
        <f t="shared" si="2"/>
        <v>3</v>
      </c>
      <c r="K21">
        <f t="shared" si="2"/>
        <v>2</v>
      </c>
      <c r="L21">
        <f t="shared" si="2"/>
        <v>3</v>
      </c>
      <c r="M21">
        <f t="shared" si="2"/>
        <v>2</v>
      </c>
      <c r="N21">
        <f t="shared" si="2"/>
        <v>3</v>
      </c>
      <c r="O21">
        <f t="shared" si="2"/>
        <v>3</v>
      </c>
      <c r="P21">
        <f t="shared" si="2"/>
        <v>4</v>
      </c>
      <c r="Q21">
        <f t="shared" si="1"/>
        <v>0</v>
      </c>
      <c r="S21">
        <f t="shared" si="3"/>
        <v>2</v>
      </c>
      <c r="T21">
        <f t="shared" si="4"/>
        <v>4</v>
      </c>
    </row>
    <row r="22" spans="1:20" x14ac:dyDescent="0.3">
      <c r="A22" s="21">
        <v>4</v>
      </c>
      <c r="B22" s="18">
        <v>45763.3821412037</v>
      </c>
      <c r="C22" s="18">
        <v>45763.383807870399</v>
      </c>
      <c r="D22" s="19" t="s">
        <v>88</v>
      </c>
      <c r="E22" s="19"/>
      <c r="F22" s="18"/>
      <c r="G22">
        <f t="shared" si="2"/>
        <v>3</v>
      </c>
      <c r="H22">
        <f t="shared" si="2"/>
        <v>4</v>
      </c>
      <c r="I22">
        <f t="shared" si="2"/>
        <v>2</v>
      </c>
      <c r="J22">
        <f t="shared" si="2"/>
        <v>4</v>
      </c>
      <c r="K22">
        <f t="shared" si="2"/>
        <v>5</v>
      </c>
      <c r="L22">
        <f t="shared" si="2"/>
        <v>4</v>
      </c>
      <c r="M22">
        <f t="shared" si="2"/>
        <v>4</v>
      </c>
      <c r="N22">
        <f t="shared" si="2"/>
        <v>4</v>
      </c>
      <c r="O22">
        <f t="shared" si="2"/>
        <v>4</v>
      </c>
      <c r="P22">
        <f t="shared" si="2"/>
        <v>5</v>
      </c>
      <c r="Q22">
        <f t="shared" si="1"/>
        <v>0</v>
      </c>
      <c r="S22">
        <f t="shared" si="3"/>
        <v>3</v>
      </c>
      <c r="T22">
        <f t="shared" si="4"/>
        <v>4</v>
      </c>
    </row>
    <row r="23" spans="1:20" x14ac:dyDescent="0.3">
      <c r="A23" s="20">
        <v>5</v>
      </c>
      <c r="B23" s="16">
        <v>45763.402280092603</v>
      </c>
      <c r="C23" s="16">
        <v>45763.408125000002</v>
      </c>
      <c r="D23" s="17" t="s">
        <v>88</v>
      </c>
      <c r="E23" s="17"/>
      <c r="F23" s="16"/>
      <c r="G23">
        <f t="shared" si="2"/>
        <v>5</v>
      </c>
      <c r="H23">
        <f t="shared" si="2"/>
        <v>5</v>
      </c>
      <c r="I23">
        <f t="shared" si="2"/>
        <v>2</v>
      </c>
      <c r="J23">
        <f t="shared" si="2"/>
        <v>5</v>
      </c>
      <c r="K23">
        <f t="shared" si="2"/>
        <v>5</v>
      </c>
      <c r="L23">
        <f t="shared" si="2"/>
        <v>5</v>
      </c>
      <c r="M23">
        <f t="shared" si="2"/>
        <v>4</v>
      </c>
      <c r="N23">
        <f t="shared" si="2"/>
        <v>5</v>
      </c>
      <c r="O23">
        <f t="shared" si="2"/>
        <v>5</v>
      </c>
      <c r="P23">
        <f t="shared" si="2"/>
        <v>5</v>
      </c>
      <c r="Q23">
        <f t="shared" si="1"/>
        <v>0</v>
      </c>
      <c r="S23">
        <f t="shared" si="3"/>
        <v>2</v>
      </c>
      <c r="T23">
        <f t="shared" si="4"/>
        <v>4</v>
      </c>
    </row>
    <row r="24" spans="1:20" x14ac:dyDescent="0.3">
      <c r="A24" s="21">
        <v>6</v>
      </c>
      <c r="B24" s="18">
        <v>45763.428275462997</v>
      </c>
      <c r="C24" s="18">
        <v>45763.429155092599</v>
      </c>
      <c r="D24" s="19" t="s">
        <v>88</v>
      </c>
      <c r="E24" s="19"/>
      <c r="F24" s="18"/>
      <c r="G24">
        <f t="shared" si="2"/>
        <v>5</v>
      </c>
      <c r="H24">
        <f t="shared" si="2"/>
        <v>5</v>
      </c>
      <c r="I24">
        <f t="shared" si="2"/>
        <v>3</v>
      </c>
      <c r="J24">
        <f t="shared" si="2"/>
        <v>5</v>
      </c>
      <c r="K24">
        <f t="shared" si="2"/>
        <v>5</v>
      </c>
      <c r="L24">
        <f t="shared" si="2"/>
        <v>5</v>
      </c>
      <c r="M24">
        <f t="shared" si="2"/>
        <v>5</v>
      </c>
      <c r="N24">
        <f t="shared" si="2"/>
        <v>5</v>
      </c>
      <c r="O24">
        <f t="shared" si="2"/>
        <v>5</v>
      </c>
      <c r="P24">
        <f t="shared" si="2"/>
        <v>5</v>
      </c>
      <c r="Q24">
        <f t="shared" si="1"/>
        <v>1</v>
      </c>
      <c r="S24">
        <f t="shared" si="3"/>
        <v>3</v>
      </c>
      <c r="T24">
        <f t="shared" si="4"/>
        <v>4</v>
      </c>
    </row>
    <row r="25" spans="1:20" x14ac:dyDescent="0.3">
      <c r="A25" s="20">
        <v>7</v>
      </c>
      <c r="B25" s="16">
        <v>45763.447372685201</v>
      </c>
      <c r="C25" s="16">
        <v>45763.447881944398</v>
      </c>
      <c r="D25" s="17" t="s">
        <v>88</v>
      </c>
      <c r="E25" s="17"/>
      <c r="F25" s="16"/>
      <c r="G25">
        <f t="shared" si="2"/>
        <v>5</v>
      </c>
      <c r="H25">
        <f t="shared" si="2"/>
        <v>4</v>
      </c>
      <c r="I25">
        <f t="shared" si="2"/>
        <v>5</v>
      </c>
      <c r="J25">
        <f t="shared" si="2"/>
        <v>4</v>
      </c>
      <c r="K25">
        <f t="shared" si="2"/>
        <v>4</v>
      </c>
      <c r="L25">
        <f t="shared" si="2"/>
        <v>4</v>
      </c>
      <c r="M25">
        <f t="shared" si="2"/>
        <v>5</v>
      </c>
      <c r="N25">
        <f t="shared" si="2"/>
        <v>4</v>
      </c>
      <c r="O25">
        <f t="shared" si="2"/>
        <v>3</v>
      </c>
      <c r="P25">
        <f t="shared" si="2"/>
        <v>5</v>
      </c>
      <c r="Q25">
        <f t="shared" si="1"/>
        <v>1</v>
      </c>
      <c r="S25">
        <f t="shared" si="3"/>
        <v>3</v>
      </c>
      <c r="T25">
        <f t="shared" si="4"/>
        <v>4</v>
      </c>
    </row>
    <row r="26" spans="1:20" x14ac:dyDescent="0.3">
      <c r="A26" s="21">
        <v>8</v>
      </c>
      <c r="B26" s="18">
        <v>45763.447905092602</v>
      </c>
      <c r="C26" s="18">
        <v>45763.448981481502</v>
      </c>
      <c r="D26" s="19" t="s">
        <v>88</v>
      </c>
      <c r="E26" s="19"/>
      <c r="F26" s="18"/>
      <c r="G26">
        <f t="shared" si="2"/>
        <v>2</v>
      </c>
      <c r="H26">
        <f t="shared" si="2"/>
        <v>2</v>
      </c>
      <c r="I26">
        <f t="shared" si="2"/>
        <v>3</v>
      </c>
      <c r="J26">
        <f t="shared" si="2"/>
        <v>2</v>
      </c>
      <c r="K26">
        <f t="shared" si="2"/>
        <v>2</v>
      </c>
      <c r="L26">
        <f t="shared" si="2"/>
        <v>1</v>
      </c>
      <c r="M26">
        <f t="shared" si="2"/>
        <v>2</v>
      </c>
      <c r="N26">
        <f t="shared" si="2"/>
        <v>2</v>
      </c>
      <c r="O26">
        <f t="shared" si="2"/>
        <v>1</v>
      </c>
      <c r="P26">
        <f t="shared" si="2"/>
        <v>2</v>
      </c>
      <c r="Q26">
        <f t="shared" si="1"/>
        <v>1</v>
      </c>
      <c r="S26">
        <f t="shared" si="3"/>
        <v>2</v>
      </c>
      <c r="T26">
        <f t="shared" si="4"/>
        <v>3</v>
      </c>
    </row>
    <row r="27" spans="1:20" x14ac:dyDescent="0.3">
      <c r="A27" s="20">
        <v>9</v>
      </c>
      <c r="B27" s="16">
        <v>45763.449004629598</v>
      </c>
      <c r="C27" s="16">
        <v>45763.449594907397</v>
      </c>
      <c r="D27" s="17" t="s">
        <v>88</v>
      </c>
      <c r="E27" s="17"/>
      <c r="F27" s="16"/>
      <c r="G27">
        <f t="shared" si="2"/>
        <v>5</v>
      </c>
      <c r="H27">
        <f t="shared" si="2"/>
        <v>5</v>
      </c>
      <c r="I27">
        <f t="shared" si="2"/>
        <v>5</v>
      </c>
      <c r="J27">
        <f t="shared" si="2"/>
        <v>5</v>
      </c>
      <c r="K27">
        <f t="shared" si="2"/>
        <v>5</v>
      </c>
      <c r="L27">
        <f t="shared" si="2"/>
        <v>5</v>
      </c>
      <c r="M27">
        <f t="shared" si="2"/>
        <v>5</v>
      </c>
      <c r="N27">
        <f t="shared" si="2"/>
        <v>5</v>
      </c>
      <c r="O27">
        <f t="shared" si="2"/>
        <v>4</v>
      </c>
      <c r="P27">
        <f t="shared" si="2"/>
        <v>5</v>
      </c>
      <c r="Q27">
        <f t="shared" si="1"/>
        <v>1</v>
      </c>
      <c r="S27">
        <f t="shared" si="3"/>
        <v>2</v>
      </c>
      <c r="T27">
        <f t="shared" si="4"/>
        <v>5</v>
      </c>
    </row>
    <row r="28" spans="1:20" x14ac:dyDescent="0.3">
      <c r="A28" s="21">
        <v>10</v>
      </c>
      <c r="B28" s="18">
        <v>45763.449618055602</v>
      </c>
      <c r="C28" s="18">
        <v>45763.451168981497</v>
      </c>
      <c r="D28" s="19" t="s">
        <v>88</v>
      </c>
      <c r="E28" s="19"/>
      <c r="F28" s="18"/>
      <c r="G28">
        <f t="shared" si="2"/>
        <v>3</v>
      </c>
      <c r="H28">
        <f t="shared" si="2"/>
        <v>2</v>
      </c>
      <c r="I28">
        <f t="shared" si="2"/>
        <v>4</v>
      </c>
      <c r="J28">
        <f t="shared" si="2"/>
        <v>3</v>
      </c>
      <c r="K28">
        <f t="shared" si="2"/>
        <v>2</v>
      </c>
      <c r="L28">
        <f t="shared" si="2"/>
        <v>2</v>
      </c>
      <c r="M28">
        <f t="shared" si="2"/>
        <v>3</v>
      </c>
      <c r="N28">
        <f t="shared" si="2"/>
        <v>2</v>
      </c>
      <c r="O28">
        <f t="shared" si="2"/>
        <v>3</v>
      </c>
      <c r="P28">
        <f t="shared" si="2"/>
        <v>3</v>
      </c>
      <c r="Q28">
        <f t="shared" si="1"/>
        <v>1</v>
      </c>
      <c r="S28">
        <f t="shared" si="3"/>
        <v>4</v>
      </c>
      <c r="T28">
        <f t="shared" si="4"/>
        <v>3</v>
      </c>
    </row>
    <row r="29" spans="1:20" x14ac:dyDescent="0.3">
      <c r="A29" s="20">
        <v>11</v>
      </c>
      <c r="B29" s="16">
        <v>45763.451180555603</v>
      </c>
      <c r="C29" s="16">
        <v>45763.451712962997</v>
      </c>
      <c r="D29" s="17" t="s">
        <v>88</v>
      </c>
      <c r="E29" s="17"/>
      <c r="F29" s="16"/>
      <c r="G29">
        <f t="shared" si="2"/>
        <v>4</v>
      </c>
      <c r="H29">
        <f t="shared" si="2"/>
        <v>4</v>
      </c>
      <c r="I29">
        <f t="shared" si="2"/>
        <v>3</v>
      </c>
      <c r="J29">
        <f t="shared" si="2"/>
        <v>3</v>
      </c>
      <c r="K29">
        <f t="shared" si="2"/>
        <v>4</v>
      </c>
      <c r="L29">
        <f t="shared" si="2"/>
        <v>3</v>
      </c>
      <c r="M29">
        <f t="shared" si="2"/>
        <v>4</v>
      </c>
      <c r="N29">
        <f t="shared" si="2"/>
        <v>3</v>
      </c>
      <c r="O29">
        <f t="shared" si="2"/>
        <v>2</v>
      </c>
      <c r="P29">
        <f t="shared" si="2"/>
        <v>4</v>
      </c>
      <c r="Q29">
        <f t="shared" si="1"/>
        <v>0</v>
      </c>
      <c r="S29">
        <f t="shared" si="3"/>
        <v>3</v>
      </c>
      <c r="T29">
        <f t="shared" si="4"/>
        <v>4</v>
      </c>
    </row>
    <row r="30" spans="1:20" x14ac:dyDescent="0.3">
      <c r="A30" s="21">
        <v>12</v>
      </c>
      <c r="B30" s="18">
        <v>45763.453136574099</v>
      </c>
      <c r="C30" s="18">
        <v>45763.4543402778</v>
      </c>
      <c r="D30" s="19" t="s">
        <v>88</v>
      </c>
      <c r="E30" s="19"/>
      <c r="F30" s="18"/>
      <c r="G30">
        <f t="shared" si="2"/>
        <v>3</v>
      </c>
      <c r="H30">
        <f t="shared" si="2"/>
        <v>2</v>
      </c>
      <c r="I30">
        <f t="shared" si="2"/>
        <v>3</v>
      </c>
      <c r="J30">
        <f t="shared" si="2"/>
        <v>2</v>
      </c>
      <c r="K30">
        <f t="shared" si="2"/>
        <v>2</v>
      </c>
      <c r="L30">
        <f t="shared" si="2"/>
        <v>2</v>
      </c>
      <c r="M30">
        <f t="shared" si="2"/>
        <v>4</v>
      </c>
      <c r="N30">
        <f t="shared" si="2"/>
        <v>2</v>
      </c>
      <c r="O30">
        <f t="shared" si="2"/>
        <v>2</v>
      </c>
      <c r="P30">
        <f t="shared" si="2"/>
        <v>3</v>
      </c>
      <c r="Q30">
        <f t="shared" si="1"/>
        <v>0</v>
      </c>
      <c r="S30">
        <f t="shared" si="3"/>
        <v>1</v>
      </c>
      <c r="T30">
        <f t="shared" si="4"/>
        <v>3</v>
      </c>
    </row>
    <row r="31" spans="1:20" x14ac:dyDescent="0.3">
      <c r="A31" s="20">
        <v>13</v>
      </c>
      <c r="B31" s="16">
        <v>45763.456064814804</v>
      </c>
      <c r="C31" s="16">
        <v>45763.4578819444</v>
      </c>
      <c r="D31" s="17" t="s">
        <v>88</v>
      </c>
      <c r="E31" s="17"/>
      <c r="F31" s="16"/>
      <c r="G31">
        <f t="shared" si="2"/>
        <v>4</v>
      </c>
      <c r="H31">
        <f t="shared" si="2"/>
        <v>4</v>
      </c>
      <c r="I31">
        <f t="shared" si="2"/>
        <v>5</v>
      </c>
      <c r="J31">
        <f t="shared" si="2"/>
        <v>4</v>
      </c>
      <c r="K31">
        <f t="shared" si="2"/>
        <v>4</v>
      </c>
      <c r="L31">
        <f t="shared" si="2"/>
        <v>4</v>
      </c>
      <c r="M31">
        <f t="shared" si="2"/>
        <v>5</v>
      </c>
      <c r="N31">
        <f t="shared" si="2"/>
        <v>4</v>
      </c>
      <c r="O31">
        <f t="shared" si="2"/>
        <v>3</v>
      </c>
      <c r="P31">
        <f t="shared" si="2"/>
        <v>4</v>
      </c>
      <c r="Q31">
        <f t="shared" si="1"/>
        <v>1</v>
      </c>
      <c r="S31">
        <f t="shared" si="3"/>
        <v>3</v>
      </c>
      <c r="T31">
        <f t="shared" si="4"/>
        <v>4</v>
      </c>
    </row>
    <row r="32" spans="1:20" x14ac:dyDescent="0.3">
      <c r="A32" s="21">
        <v>14</v>
      </c>
      <c r="B32" s="18">
        <v>45763.459884259297</v>
      </c>
      <c r="C32" s="18">
        <v>45763.4604861111</v>
      </c>
      <c r="D32" s="19" t="s">
        <v>88</v>
      </c>
      <c r="E32" s="19"/>
      <c r="F32" s="18"/>
      <c r="G32">
        <f t="shared" si="2"/>
        <v>5</v>
      </c>
      <c r="H32">
        <f t="shared" si="2"/>
        <v>5</v>
      </c>
      <c r="I32">
        <f t="shared" si="2"/>
        <v>4</v>
      </c>
      <c r="J32">
        <f t="shared" si="2"/>
        <v>5</v>
      </c>
      <c r="K32">
        <f t="shared" si="2"/>
        <v>4</v>
      </c>
      <c r="L32">
        <f t="shared" si="2"/>
        <v>5</v>
      </c>
      <c r="M32">
        <f t="shared" si="2"/>
        <v>5</v>
      </c>
      <c r="N32">
        <f t="shared" si="2"/>
        <v>4</v>
      </c>
      <c r="O32">
        <f t="shared" si="2"/>
        <v>3</v>
      </c>
      <c r="P32">
        <f t="shared" si="2"/>
        <v>5</v>
      </c>
      <c r="Q32">
        <f t="shared" si="1"/>
        <v>0</v>
      </c>
      <c r="S32">
        <f t="shared" si="3"/>
        <v>2</v>
      </c>
      <c r="T32">
        <f t="shared" si="4"/>
        <v>5</v>
      </c>
    </row>
    <row r="33" spans="1:20" x14ac:dyDescent="0.3">
      <c r="A33" s="65" t="s">
        <v>151</v>
      </c>
      <c r="B33" s="66"/>
      <c r="C33" s="66"/>
      <c r="D33" s="66"/>
      <c r="E33" s="66"/>
      <c r="F33" s="66"/>
      <c r="G33" s="23">
        <f>ROUND(AVERAGE(G19:G32), 2)</f>
        <v>3.86</v>
      </c>
      <c r="H33" s="23">
        <f>ROUND(AVERAGE(H19:H32),2)</f>
        <v>3.64</v>
      </c>
      <c r="I33" s="23">
        <f t="shared" ref="I33:Q33" si="5">ROUND(AVERAGE(I19:I32),2)</f>
        <v>3.5</v>
      </c>
      <c r="J33" s="23">
        <f t="shared" si="5"/>
        <v>3.64</v>
      </c>
      <c r="K33" s="23">
        <f t="shared" si="5"/>
        <v>3.5</v>
      </c>
      <c r="L33" s="23">
        <f>ROUND(AVERAGE(L19:L32), 2)</f>
        <v>3.57</v>
      </c>
      <c r="M33" s="23">
        <f t="shared" si="5"/>
        <v>3.93</v>
      </c>
      <c r="N33" s="23">
        <f t="shared" si="5"/>
        <v>3.5</v>
      </c>
      <c r="O33" s="23">
        <f t="shared" si="5"/>
        <v>3.14</v>
      </c>
      <c r="P33" s="23">
        <f t="shared" si="5"/>
        <v>4.07</v>
      </c>
      <c r="Q33" s="23">
        <f t="shared" si="5"/>
        <v>0.43</v>
      </c>
      <c r="R33" s="23"/>
      <c r="S33">
        <f>ROUND(AVERAGE(Q13Num), 2)</f>
        <v>2.71</v>
      </c>
      <c r="T33" s="23">
        <f t="shared" ref="T33" si="6">ROUND(AVERAGE(T19:T32),2)</f>
        <v>3.79</v>
      </c>
    </row>
    <row r="34" spans="1:20" x14ac:dyDescent="0.3">
      <c r="A34" s="67" t="s">
        <v>150</v>
      </c>
      <c r="B34" s="68"/>
      <c r="C34" s="68"/>
      <c r="D34" s="68"/>
      <c r="E34" s="68"/>
      <c r="F34" s="68"/>
      <c r="G34" t="str">
        <f>_xlfn.XLOOKUP(G33,$A$37:$A$41,$B$37:$B$41,"n/a",IF(G33-TRUNC(G33) &gt;= 0.5, 1, -1))</f>
        <v>Agree</v>
      </c>
      <c r="H34" t="str">
        <f t="shared" ref="H34:P34" si="7">_xlfn.XLOOKUP(H33,$A$37:$A$41,$B$37:$B$41,"n/a",IF(H33-TRUNC(H33)&gt;=0.5,1,-1))</f>
        <v>Agree</v>
      </c>
      <c r="I34" t="str">
        <f t="shared" si="7"/>
        <v>Agree</v>
      </c>
      <c r="J34" t="str">
        <f t="shared" si="7"/>
        <v>Agree</v>
      </c>
      <c r="K34" t="str">
        <f t="shared" si="7"/>
        <v>Agree</v>
      </c>
      <c r="L34" t="str">
        <f>_xlfn.XLOOKUP(L33,$A$37:$A$41,$B$37:$B$41,"n/a",IF(L33-TRUNC(L33) &gt;= 0.5, 1, -1))</f>
        <v>Agree</v>
      </c>
      <c r="M34" t="str">
        <f>_xlfn.XLOOKUP(M33,$A$37:$A$41,$B$37:$B$41,"n/a",IF(M33-TRUNC(M33) &gt;= 0.5, 1, -1))</f>
        <v>Agree</v>
      </c>
      <c r="N34" t="str">
        <f>_xlfn.XLOOKUP(N33,$A$37:$A$41,$B$37:$B$41,"n/a",IF(N33-TRUNC(N33) &gt;= 0.5, 1, -1))</f>
        <v>Agree</v>
      </c>
      <c r="O34" t="str">
        <f t="shared" si="7"/>
        <v>Neutral</v>
      </c>
      <c r="P34" t="str">
        <f t="shared" si="7"/>
        <v>Agree</v>
      </c>
      <c r="Q34" t="str">
        <f>IF(Q33&gt;0.5,"Yes","No")</f>
        <v>No</v>
      </c>
      <c r="S34" t="str">
        <f>_xlfn.XLOOKUP(S33,$A$37:$A$41,$C$37:$C$41,"n/a",IF(S33-TRUNC(S33) &gt;= 0.5, 1, -1))</f>
        <v>Few times a week</v>
      </c>
      <c r="T34" t="str">
        <f>_xlfn.XLOOKUP(T33,$A$37:$A$41,$D$37:$D$41,"n/a",IF(T33-TRUNC(T33) &gt;= 0.5, 1, -1))</f>
        <v>Somewhat reliable</v>
      </c>
    </row>
    <row r="36" spans="1:20" x14ac:dyDescent="0.3">
      <c r="A36" s="24" t="s">
        <v>149</v>
      </c>
      <c r="B36" s="24" t="s">
        <v>147</v>
      </c>
      <c r="C36" s="24" t="s">
        <v>152</v>
      </c>
      <c r="D36" s="24" t="s">
        <v>161</v>
      </c>
      <c r="H36" s="30" t="s">
        <v>163</v>
      </c>
    </row>
    <row r="37" spans="1:20" x14ac:dyDescent="0.3">
      <c r="A37" s="25">
        <v>1</v>
      </c>
      <c r="B37" s="26" t="s">
        <v>148</v>
      </c>
      <c r="C37" s="26" t="s">
        <v>115</v>
      </c>
      <c r="D37" s="26" t="s">
        <v>162</v>
      </c>
    </row>
    <row r="38" spans="1:20" x14ac:dyDescent="0.3">
      <c r="A38" s="25">
        <v>2</v>
      </c>
      <c r="B38" s="26" t="s">
        <v>91</v>
      </c>
      <c r="C38" s="26" t="s">
        <v>99</v>
      </c>
      <c r="D38" s="26" t="s">
        <v>166</v>
      </c>
    </row>
    <row r="39" spans="1:20" x14ac:dyDescent="0.3">
      <c r="A39" s="25">
        <v>3</v>
      </c>
      <c r="B39" s="26" t="s">
        <v>90</v>
      </c>
      <c r="C39" s="26" t="s">
        <v>94</v>
      </c>
      <c r="D39" s="26" t="s">
        <v>95</v>
      </c>
    </row>
    <row r="40" spans="1:20" x14ac:dyDescent="0.3">
      <c r="A40" s="25">
        <v>4</v>
      </c>
      <c r="B40" s="26" t="s">
        <v>89</v>
      </c>
      <c r="C40" s="26" t="s">
        <v>153</v>
      </c>
      <c r="D40" s="26" t="s">
        <v>100</v>
      </c>
    </row>
    <row r="41" spans="1:20" x14ac:dyDescent="0.3">
      <c r="A41" s="25">
        <v>5</v>
      </c>
      <c r="B41" s="26" t="s">
        <v>101</v>
      </c>
      <c r="C41" s="26" t="s">
        <v>97</v>
      </c>
      <c r="D41" s="26" t="s">
        <v>110</v>
      </c>
    </row>
    <row r="43" spans="1:20" x14ac:dyDescent="0.3">
      <c r="A43" s="24" t="s">
        <v>169</v>
      </c>
      <c r="B43" s="24"/>
    </row>
    <row r="44" spans="1:20" ht="28.8" x14ac:dyDescent="0.3">
      <c r="A44" s="26" t="s">
        <v>148</v>
      </c>
      <c r="B44" s="39">
        <f>COUNTIF(Table1[[Question 1]:[Question 14]],A44)</f>
        <v>2</v>
      </c>
    </row>
    <row r="45" spans="1:20" x14ac:dyDescent="0.3">
      <c r="A45" s="26" t="s">
        <v>91</v>
      </c>
      <c r="B45" s="39">
        <f>COUNTIF(Table1[[Question 1]:[Question 14]],A45)</f>
        <v>23</v>
      </c>
    </row>
    <row r="46" spans="1:20" x14ac:dyDescent="0.3">
      <c r="A46" s="26" t="s">
        <v>90</v>
      </c>
      <c r="B46" s="39">
        <f>COUNTIF(Table1[[Question 1]:[Question 14]],A46)</f>
        <v>39</v>
      </c>
    </row>
    <row r="47" spans="1:20" x14ac:dyDescent="0.3">
      <c r="A47" s="26" t="s">
        <v>89</v>
      </c>
      <c r="B47" s="39">
        <f>COUNTIF(Table1[[Question 1]:[Question 14]],A47)</f>
        <v>36</v>
      </c>
    </row>
    <row r="48" spans="1:20" x14ac:dyDescent="0.3">
      <c r="A48" s="26" t="s">
        <v>101</v>
      </c>
      <c r="B48" s="39">
        <f>COUNTIF(Table1[[Question 1]:[Question 14]],A48)</f>
        <v>40</v>
      </c>
    </row>
    <row r="49" spans="1:2" x14ac:dyDescent="0.3">
      <c r="A49" s="26" t="s">
        <v>162</v>
      </c>
      <c r="B49" s="39">
        <f>COUNTIF(Table1[[Question 1]:[Question 14]],A49)</f>
        <v>0</v>
      </c>
    </row>
    <row r="50" spans="1:2" ht="28.8" x14ac:dyDescent="0.3">
      <c r="A50" s="26" t="s">
        <v>166</v>
      </c>
      <c r="B50" s="39">
        <f>COUNTIF(Table1[[Question 1]:[Question 14]],A50)</f>
        <v>0</v>
      </c>
    </row>
    <row r="51" spans="1:2" ht="28.8" x14ac:dyDescent="0.3">
      <c r="A51" s="26" t="s">
        <v>95</v>
      </c>
      <c r="B51" s="39">
        <f>COUNTIF(Table1[[Question 1]:[Question 14]],A51)</f>
        <v>5</v>
      </c>
    </row>
    <row r="52" spans="1:2" ht="28.8" x14ac:dyDescent="0.3">
      <c r="A52" s="26" t="s">
        <v>100</v>
      </c>
      <c r="B52" s="39">
        <f>COUNTIF(Table1[[Question 1]:[Question 14]],A52)</f>
        <v>7</v>
      </c>
    </row>
    <row r="53" spans="1:2" x14ac:dyDescent="0.3">
      <c r="A53" s="26" t="s">
        <v>110</v>
      </c>
      <c r="B53" s="39">
        <f>COUNTIF(Table1[[Question 1]:[Question 14]],A53)</f>
        <v>2</v>
      </c>
    </row>
    <row r="54" spans="1:2" x14ac:dyDescent="0.3">
      <c r="A54" s="26" t="s">
        <v>115</v>
      </c>
      <c r="B54" s="39">
        <f>COUNTIF(Table1[[Question 1]:[Question 14]],A54)</f>
        <v>1</v>
      </c>
    </row>
    <row r="55" spans="1:2" x14ac:dyDescent="0.3">
      <c r="A55" s="26" t="s">
        <v>99</v>
      </c>
      <c r="B55" s="39">
        <f>COUNTIF(Table1[[Question 1]:[Question 14]],A55)</f>
        <v>5</v>
      </c>
    </row>
    <row r="56" spans="1:2" ht="28.8" x14ac:dyDescent="0.3">
      <c r="A56" s="26" t="s">
        <v>94</v>
      </c>
      <c r="B56" s="39">
        <f>COUNTIF(Table1[[Question 1]:[Question 14]],A56)</f>
        <v>6</v>
      </c>
    </row>
    <row r="57" spans="1:2" x14ac:dyDescent="0.3">
      <c r="A57" s="26" t="s">
        <v>153</v>
      </c>
      <c r="B57" s="39">
        <f>COUNTIF(Table1[[Question 1]:[Question 14]],A57)</f>
        <v>1</v>
      </c>
    </row>
    <row r="58" spans="1:2" x14ac:dyDescent="0.3">
      <c r="A58" s="26" t="s">
        <v>97</v>
      </c>
      <c r="B58" s="39">
        <f>COUNTIF(Table1[[Question 1]:[Question 14]],A58)</f>
        <v>1</v>
      </c>
    </row>
    <row r="59" spans="1:2" x14ac:dyDescent="0.3">
      <c r="A59" s="26" t="s">
        <v>104</v>
      </c>
      <c r="B59" s="39">
        <f>COUNTIF(Table1[[Question 1]:[Question 14]],A59)</f>
        <v>6</v>
      </c>
    </row>
    <row r="60" spans="1:2" x14ac:dyDescent="0.3">
      <c r="A60" s="26" t="s">
        <v>92</v>
      </c>
      <c r="B60" s="39">
        <f>COUNTIF(Table1[[Question 1]:[Question 14]],A60)</f>
        <v>8</v>
      </c>
    </row>
  </sheetData>
  <mergeCells count="3">
    <mergeCell ref="F17:T17"/>
    <mergeCell ref="A33:F33"/>
    <mergeCell ref="A34:F34"/>
  </mergeCells>
  <conditionalFormatting sqref="G19:Q34 R33 T33">
    <cfRule type="colorScale" priority="8">
      <colorScale>
        <cfvo type="min"/>
        <cfvo type="max"/>
        <color rgb="FFFCFCFF"/>
        <color rgb="FF63BE7B"/>
      </colorScale>
    </cfRule>
  </conditionalFormatting>
  <conditionalFormatting sqref="S19:S33 T19:T32">
    <cfRule type="colorScale" priority="7">
      <colorScale>
        <cfvo type="min"/>
        <cfvo type="max"/>
        <color rgb="FFFCFCFF"/>
        <color rgb="FF63BE7B"/>
      </colorScale>
    </cfRule>
  </conditionalFormatting>
  <conditionalFormatting sqref="S19:T19 S20:S33 T19:T32">
    <cfRule type="colorScale" priority="5">
      <colorScale>
        <cfvo type="min"/>
        <cfvo type="max"/>
        <color rgb="FFFCFCFF"/>
        <color rgb="FF63BE7B"/>
      </colorScale>
    </cfRule>
  </conditionalFormatting>
  <conditionalFormatting sqref="T19:T32">
    <cfRule type="colorScale" priority="6">
      <colorScale>
        <cfvo type="min"/>
        <cfvo type="max"/>
        <color rgb="FFFCFCFF"/>
        <color rgb="FF63BE7B"/>
      </colorScale>
    </cfRule>
  </conditionalFormatting>
  <dataValidations count="2">
    <dataValidation type="decimal" allowBlank="1" showInputMessage="1" showErrorMessage="1" sqref="G33:T33" xr:uid="{269A7F88-8B69-4F91-9928-D0A2A9E7B39F}">
      <formula1>0</formula1>
      <formula2>5</formula2>
    </dataValidation>
    <dataValidation type="whole" allowBlank="1" showInputMessage="1" showErrorMessage="1" sqref="G19:T32" xr:uid="{BD906F9A-B755-427D-9516-1AC185C2C329}">
      <formula1>0</formula1>
      <formula2>5</formula2>
    </dataValidation>
  </dataValidations>
  <hyperlinks>
    <hyperlink ref="H36" r:id="rId1" xr:uid="{2A01DF33-E5AC-4733-B2AB-A599DB5C55C6}"/>
  </hyperlinks>
  <pageMargins left="0.7" right="0.7" top="0.75" bottom="0.75" header="0.3" footer="0.3"/>
  <pageSetup paperSize="9" orientation="portrait" horizontalDpi="4294967293"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4098" r:id="rId5" name="Button 2">
              <controlPr defaultSize="0" print="0" autoFill="0" autoPict="0" macro="[0]!NumberToWordAVG">
                <anchor moveWithCells="1" sizeWithCells="1">
                  <from>
                    <xdr:col>5</xdr:col>
                    <xdr:colOff>91440</xdr:colOff>
                    <xdr:row>38</xdr:row>
                    <xdr:rowOff>152400</xdr:rowOff>
                  </from>
                  <to>
                    <xdr:col>6</xdr:col>
                    <xdr:colOff>502920</xdr:colOff>
                    <xdr:row>41</xdr:row>
                    <xdr:rowOff>152400</xdr:rowOff>
                  </to>
                </anchor>
              </controlPr>
            </control>
          </mc:Choice>
        </mc:AlternateContent>
        <mc:AlternateContent xmlns:mc="http://schemas.openxmlformats.org/markup-compatibility/2006">
          <mc:Choice Requires="x14">
            <control shapeId="4099" r:id="rId6" name="Button 3">
              <controlPr defaultSize="0" print="0" autoFill="0" autoPict="0" macro="[0]!CalculateAverage">
                <anchor moveWithCells="1" sizeWithCells="1">
                  <from>
                    <xdr:col>5</xdr:col>
                    <xdr:colOff>106680</xdr:colOff>
                    <xdr:row>35</xdr:row>
                    <xdr:rowOff>38100</xdr:rowOff>
                  </from>
                  <to>
                    <xdr:col>6</xdr:col>
                    <xdr:colOff>457200</xdr:colOff>
                    <xdr:row>38</xdr:row>
                    <xdr:rowOff>60960</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BD284-12CC-4C71-A6DA-3B4B4A9D5DB4}">
  <sheetPr codeName="Sheet4"/>
  <dimension ref="A1:K70"/>
  <sheetViews>
    <sheetView zoomScale="40" zoomScaleNormal="40" workbookViewId="0">
      <selection activeCell="U26" sqref="U26"/>
    </sheetView>
  </sheetViews>
  <sheetFormatPr defaultRowHeight="14.4" x14ac:dyDescent="0.3"/>
  <cols>
    <col min="1" max="2" width="20.77734375" customWidth="1"/>
    <col min="3" max="3" width="10.77734375" customWidth="1"/>
    <col min="4" max="5" width="20.77734375" customWidth="1"/>
    <col min="6" max="6" width="10.77734375" customWidth="1"/>
    <col min="7" max="8" width="20.77734375" customWidth="1"/>
    <col min="9" max="9" width="10.77734375" customWidth="1"/>
    <col min="10" max="11" width="20.77734375" customWidth="1"/>
    <col min="12" max="12" width="10.77734375" customWidth="1"/>
    <col min="13" max="13" width="13.44140625" bestFit="1" customWidth="1"/>
    <col min="14" max="14" width="18.33203125" bestFit="1" customWidth="1"/>
    <col min="15" max="15" width="8.88671875" bestFit="1" customWidth="1"/>
  </cols>
  <sheetData>
    <row r="1" spans="1:11" x14ac:dyDescent="0.3">
      <c r="A1" s="10" t="s">
        <v>159</v>
      </c>
      <c r="B1" t="s">
        <v>134</v>
      </c>
      <c r="D1" s="10" t="s">
        <v>159</v>
      </c>
      <c r="E1" t="s">
        <v>133</v>
      </c>
      <c r="G1" s="10" t="s">
        <v>159</v>
      </c>
      <c r="H1" t="s">
        <v>144</v>
      </c>
      <c r="J1" s="10" t="s">
        <v>159</v>
      </c>
      <c r="K1" t="s">
        <v>170</v>
      </c>
    </row>
    <row r="2" spans="1:11" x14ac:dyDescent="0.3">
      <c r="A2" s="29" t="s">
        <v>89</v>
      </c>
      <c r="B2">
        <v>3</v>
      </c>
      <c r="D2" s="29" t="s">
        <v>89</v>
      </c>
      <c r="E2">
        <v>4</v>
      </c>
      <c r="G2" s="29" t="s">
        <v>89</v>
      </c>
      <c r="H2">
        <v>3</v>
      </c>
      <c r="J2" s="29" t="s">
        <v>89</v>
      </c>
      <c r="K2" s="69">
        <v>3</v>
      </c>
    </row>
    <row r="3" spans="1:11" x14ac:dyDescent="0.3">
      <c r="A3" s="29" t="s">
        <v>91</v>
      </c>
      <c r="B3">
        <v>1</v>
      </c>
      <c r="D3" s="29" t="s">
        <v>91</v>
      </c>
      <c r="E3">
        <v>3</v>
      </c>
      <c r="G3" s="29" t="s">
        <v>91</v>
      </c>
      <c r="H3">
        <v>2</v>
      </c>
      <c r="J3" s="29" t="s">
        <v>91</v>
      </c>
      <c r="K3" s="69">
        <v>2</v>
      </c>
    </row>
    <row r="4" spans="1:11" x14ac:dyDescent="0.3">
      <c r="A4" s="29" t="s">
        <v>90</v>
      </c>
      <c r="B4">
        <v>5</v>
      </c>
      <c r="D4" s="29" t="s">
        <v>90</v>
      </c>
      <c r="E4">
        <v>3</v>
      </c>
      <c r="G4" s="29" t="s">
        <v>90</v>
      </c>
      <c r="H4">
        <v>6</v>
      </c>
      <c r="J4" s="29" t="s">
        <v>90</v>
      </c>
      <c r="K4" s="69">
        <v>5</v>
      </c>
    </row>
    <row r="5" spans="1:11" x14ac:dyDescent="0.3">
      <c r="A5" s="29" t="s">
        <v>101</v>
      </c>
      <c r="B5">
        <v>5</v>
      </c>
      <c r="D5" s="29" t="s">
        <v>101</v>
      </c>
      <c r="E5">
        <v>4</v>
      </c>
      <c r="G5" s="29" t="s">
        <v>101</v>
      </c>
      <c r="H5">
        <v>3</v>
      </c>
      <c r="J5" s="29" t="s">
        <v>101</v>
      </c>
      <c r="K5" s="69">
        <v>4</v>
      </c>
    </row>
    <row r="6" spans="1:11" x14ac:dyDescent="0.3">
      <c r="A6" s="29" t="s">
        <v>160</v>
      </c>
      <c r="B6">
        <v>14</v>
      </c>
      <c r="D6" s="29" t="s">
        <v>160</v>
      </c>
      <c r="E6">
        <v>14</v>
      </c>
      <c r="G6" s="29" t="s">
        <v>160</v>
      </c>
      <c r="H6">
        <v>14</v>
      </c>
      <c r="J6" s="29" t="s">
        <v>160</v>
      </c>
      <c r="K6" s="69">
        <v>14</v>
      </c>
    </row>
    <row r="22" spans="1:11" x14ac:dyDescent="0.3">
      <c r="A22" t="s">
        <v>159</v>
      </c>
      <c r="B22" t="s">
        <v>143</v>
      </c>
      <c r="D22" s="10" t="s">
        <v>159</v>
      </c>
      <c r="E22" t="s">
        <v>142</v>
      </c>
      <c r="G22" t="s">
        <v>159</v>
      </c>
      <c r="H22" t="s">
        <v>141</v>
      </c>
      <c r="J22" t="s">
        <v>159</v>
      </c>
      <c r="K22" t="s">
        <v>140</v>
      </c>
    </row>
    <row r="23" spans="1:11" x14ac:dyDescent="0.3">
      <c r="A23" s="29" t="s">
        <v>89</v>
      </c>
      <c r="B23">
        <v>4</v>
      </c>
      <c r="D23" s="29" t="s">
        <v>89</v>
      </c>
      <c r="E23">
        <v>4</v>
      </c>
      <c r="G23" s="29" t="s">
        <v>89</v>
      </c>
      <c r="H23">
        <v>5</v>
      </c>
      <c r="J23" s="29" t="s">
        <v>89</v>
      </c>
      <c r="K23">
        <v>4</v>
      </c>
    </row>
    <row r="24" spans="1:11" x14ac:dyDescent="0.3">
      <c r="A24" s="29" t="s">
        <v>91</v>
      </c>
      <c r="B24">
        <v>5</v>
      </c>
      <c r="D24" s="29" t="s">
        <v>91</v>
      </c>
      <c r="E24">
        <v>2</v>
      </c>
      <c r="G24" s="29" t="s">
        <v>91</v>
      </c>
      <c r="H24">
        <v>2</v>
      </c>
      <c r="J24" s="29" t="s">
        <v>91</v>
      </c>
      <c r="K24">
        <v>3</v>
      </c>
    </row>
    <row r="25" spans="1:11" x14ac:dyDescent="0.3">
      <c r="A25" s="29" t="s">
        <v>90</v>
      </c>
      <c r="B25">
        <v>1</v>
      </c>
      <c r="D25" s="29" t="s">
        <v>90</v>
      </c>
      <c r="E25">
        <v>3</v>
      </c>
      <c r="G25" s="29" t="s">
        <v>90</v>
      </c>
      <c r="H25">
        <v>2</v>
      </c>
      <c r="J25" s="29" t="s">
        <v>90</v>
      </c>
      <c r="K25">
        <v>4</v>
      </c>
    </row>
    <row r="26" spans="1:11" x14ac:dyDescent="0.3">
      <c r="A26" s="29" t="s">
        <v>101</v>
      </c>
      <c r="B26">
        <v>4</v>
      </c>
      <c r="D26" s="29" t="s">
        <v>101</v>
      </c>
      <c r="E26">
        <v>4</v>
      </c>
      <c r="G26" s="29" t="s">
        <v>101</v>
      </c>
      <c r="H26">
        <v>5</v>
      </c>
      <c r="J26" s="29" t="s">
        <v>101</v>
      </c>
      <c r="K26">
        <v>3</v>
      </c>
    </row>
    <row r="27" spans="1:11" x14ac:dyDescent="0.3">
      <c r="A27" s="29" t="s">
        <v>160</v>
      </c>
      <c r="B27">
        <v>14</v>
      </c>
      <c r="D27" s="29" t="s">
        <v>107</v>
      </c>
      <c r="E27">
        <v>1</v>
      </c>
      <c r="G27" s="29" t="s">
        <v>160</v>
      </c>
      <c r="H27">
        <v>14</v>
      </c>
      <c r="J27" s="29" t="s">
        <v>160</v>
      </c>
      <c r="K27">
        <v>14</v>
      </c>
    </row>
    <row r="28" spans="1:11" x14ac:dyDescent="0.3">
      <c r="D28" s="29" t="s">
        <v>160</v>
      </c>
      <c r="E28">
        <v>14</v>
      </c>
    </row>
    <row r="44" spans="1:11" x14ac:dyDescent="0.3">
      <c r="A44" t="s">
        <v>159</v>
      </c>
      <c r="B44" t="s">
        <v>139</v>
      </c>
      <c r="D44" t="s">
        <v>159</v>
      </c>
      <c r="E44" t="s">
        <v>138</v>
      </c>
      <c r="G44" t="s">
        <v>159</v>
      </c>
      <c r="H44" t="s">
        <v>137</v>
      </c>
      <c r="J44" t="s">
        <v>159</v>
      </c>
      <c r="K44" t="s">
        <v>136</v>
      </c>
    </row>
    <row r="45" spans="1:11" x14ac:dyDescent="0.3">
      <c r="A45" s="29" t="s">
        <v>89</v>
      </c>
      <c r="B45">
        <v>2</v>
      </c>
      <c r="D45" s="29" t="s">
        <v>89</v>
      </c>
      <c r="E45">
        <v>4</v>
      </c>
      <c r="G45" s="29" t="s">
        <v>92</v>
      </c>
      <c r="H45">
        <v>8</v>
      </c>
      <c r="J45" s="29" t="s">
        <v>115</v>
      </c>
      <c r="K45">
        <v>1</v>
      </c>
    </row>
    <row r="46" spans="1:11" x14ac:dyDescent="0.3">
      <c r="A46" s="29" t="s">
        <v>91</v>
      </c>
      <c r="B46">
        <v>2</v>
      </c>
      <c r="D46" s="29" t="s">
        <v>91</v>
      </c>
      <c r="E46">
        <v>1</v>
      </c>
      <c r="G46" s="29" t="s">
        <v>104</v>
      </c>
      <c r="H46">
        <v>6</v>
      </c>
      <c r="J46" s="29" t="s">
        <v>94</v>
      </c>
      <c r="K46">
        <v>6</v>
      </c>
    </row>
    <row r="47" spans="1:11" x14ac:dyDescent="0.3">
      <c r="A47" s="29" t="s">
        <v>90</v>
      </c>
      <c r="B47">
        <v>7</v>
      </c>
      <c r="D47" s="29" t="s">
        <v>90</v>
      </c>
      <c r="E47">
        <v>3</v>
      </c>
      <c r="G47" s="29" t="s">
        <v>160</v>
      </c>
      <c r="H47">
        <v>14</v>
      </c>
      <c r="J47" s="29" t="s">
        <v>99</v>
      </c>
      <c r="K47">
        <v>5</v>
      </c>
    </row>
    <row r="48" spans="1:11" x14ac:dyDescent="0.3">
      <c r="A48" s="29" t="s">
        <v>101</v>
      </c>
      <c r="B48">
        <v>2</v>
      </c>
      <c r="D48" s="29" t="s">
        <v>101</v>
      </c>
      <c r="E48">
        <v>6</v>
      </c>
      <c r="J48" s="29" t="s">
        <v>112</v>
      </c>
      <c r="K48">
        <v>1</v>
      </c>
    </row>
    <row r="49" spans="1:11" x14ac:dyDescent="0.3">
      <c r="A49" s="29" t="s">
        <v>107</v>
      </c>
      <c r="B49">
        <v>1</v>
      </c>
      <c r="D49" s="29" t="s">
        <v>160</v>
      </c>
      <c r="E49">
        <v>14</v>
      </c>
      <c r="J49" s="29" t="s">
        <v>97</v>
      </c>
      <c r="K49">
        <v>1</v>
      </c>
    </row>
    <row r="50" spans="1:11" x14ac:dyDescent="0.3">
      <c r="A50" s="29" t="s">
        <v>160</v>
      </c>
      <c r="B50">
        <v>14</v>
      </c>
      <c r="J50" s="29" t="s">
        <v>160</v>
      </c>
      <c r="K50">
        <v>14</v>
      </c>
    </row>
    <row r="66" spans="1:2" x14ac:dyDescent="0.3">
      <c r="A66" t="s">
        <v>159</v>
      </c>
      <c r="B66" t="s">
        <v>135</v>
      </c>
    </row>
    <row r="67" spans="1:2" x14ac:dyDescent="0.3">
      <c r="A67" s="29" t="s">
        <v>95</v>
      </c>
      <c r="B67">
        <v>5</v>
      </c>
    </row>
    <row r="68" spans="1:2" x14ac:dyDescent="0.3">
      <c r="A68" s="29" t="s">
        <v>100</v>
      </c>
      <c r="B68">
        <v>7</v>
      </c>
    </row>
    <row r="69" spans="1:2" x14ac:dyDescent="0.3">
      <c r="A69" s="29" t="s">
        <v>110</v>
      </c>
      <c r="B69">
        <v>2</v>
      </c>
    </row>
    <row r="70" spans="1:2" x14ac:dyDescent="0.3">
      <c r="A70" s="29" t="s">
        <v>160</v>
      </c>
      <c r="B70">
        <v>14</v>
      </c>
    </row>
  </sheetData>
  <pageMargins left="0.7" right="0.7" top="0.75" bottom="0.75" header="0.3" footer="0.3"/>
  <pageSetup paperSize="9" orientation="portrait" horizontalDpi="4294967293" verticalDpi="0" r:id="rId14"/>
  <drawing r:id="rId1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57</vt:i4>
      </vt:variant>
    </vt:vector>
  </HeadingPairs>
  <TitlesOfParts>
    <vt:vector size="61" baseType="lpstr">
      <vt:lpstr>Costs</vt:lpstr>
      <vt:lpstr>Best wearable</vt:lpstr>
      <vt:lpstr>Survey Results</vt:lpstr>
      <vt:lpstr>Survery Graphs</vt:lpstr>
      <vt:lpstr>AVGAnswer</vt:lpstr>
      <vt:lpstr>AVGNum</vt:lpstr>
      <vt:lpstr>BrandAVG</vt:lpstr>
      <vt:lpstr>deviceFeatures</vt:lpstr>
      <vt:lpstr>deviceName</vt:lpstr>
      <vt:lpstr>devicePriceRange</vt:lpstr>
      <vt:lpstr>deviceRating</vt:lpstr>
      <vt:lpstr>deviceSmartFeatures</vt:lpstr>
      <vt:lpstr>deviceWDRating</vt:lpstr>
      <vt:lpstr>fitnessTrackAVG</vt:lpstr>
      <vt:lpstr>fitnessTrackMax</vt:lpstr>
      <vt:lpstr>fitnessTrackMin</vt:lpstr>
      <vt:lpstr>leastPerCategory</vt:lpstr>
      <vt:lpstr>mostPerCategory</vt:lpstr>
      <vt:lpstr>'Best wearable'!Print_Area</vt:lpstr>
      <vt:lpstr>Costs!Print_Area</vt:lpstr>
      <vt:lpstr>'Survery Graphs'!Print_Area</vt:lpstr>
      <vt:lpstr>'Survey Results'!Print_Area</vt:lpstr>
      <vt:lpstr>Q10Num</vt:lpstr>
      <vt:lpstr>Q11Num</vt:lpstr>
      <vt:lpstr>Q13Num</vt:lpstr>
      <vt:lpstr>Q14Num</vt:lpstr>
      <vt:lpstr>Q1Num</vt:lpstr>
      <vt:lpstr>Q2Num</vt:lpstr>
      <vt:lpstr>Q3Num</vt:lpstr>
      <vt:lpstr>Q4Num</vt:lpstr>
      <vt:lpstr>Q5Num</vt:lpstr>
      <vt:lpstr>Q6Num</vt:lpstr>
      <vt:lpstr>Q7Num</vt:lpstr>
      <vt:lpstr>Q8Num</vt:lpstr>
      <vt:lpstr>Q9Num</vt:lpstr>
      <vt:lpstr>Question_1_Num</vt:lpstr>
      <vt:lpstr>Question_10_Num</vt:lpstr>
      <vt:lpstr>Question_11_Num</vt:lpstr>
      <vt:lpstr>Question_13_Num</vt:lpstr>
      <vt:lpstr>Question_14_Num</vt:lpstr>
      <vt:lpstr>Question_2_Num</vt:lpstr>
      <vt:lpstr>Question_3_Num</vt:lpstr>
      <vt:lpstr>Question_4_Num</vt:lpstr>
      <vt:lpstr>Question_5_Num</vt:lpstr>
      <vt:lpstr>Question_6_Num</vt:lpstr>
      <vt:lpstr>Question_7_Num</vt:lpstr>
      <vt:lpstr>Question_8_Num</vt:lpstr>
      <vt:lpstr>Question_9_Num</vt:lpstr>
      <vt:lpstr>smartEarAVG</vt:lpstr>
      <vt:lpstr>smartEarMax</vt:lpstr>
      <vt:lpstr>smartEarMin</vt:lpstr>
      <vt:lpstr>smartJewelryAVG</vt:lpstr>
      <vt:lpstr>smartJewelryMax</vt:lpstr>
      <vt:lpstr>smartJewelryMin</vt:lpstr>
      <vt:lpstr>smartWatchesAVG</vt:lpstr>
      <vt:lpstr>smartWatchesMax</vt:lpstr>
      <vt:lpstr>smartWatchesMin</vt:lpstr>
      <vt:lpstr>StrongDisagreeStrongAgreeTable</vt:lpstr>
      <vt:lpstr>VRAVG</vt:lpstr>
      <vt:lpstr>VRMax</vt:lpstr>
      <vt:lpstr>VRMin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Damian Nell</dc:creator>
  <cp:lastModifiedBy>Damian Nell</cp:lastModifiedBy>
  <cp:lastPrinted>2025-06-30T19:58:18Z</cp:lastPrinted>
  <dcterms:created xsi:type="dcterms:W3CDTF">2015-06-05T18:17:20Z</dcterms:created>
  <dcterms:modified xsi:type="dcterms:W3CDTF">2025-06-30T20:34:40Z</dcterms:modified>
</cp:coreProperties>
</file>